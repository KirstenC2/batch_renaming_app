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588" firstSheet="0" activeTab="0" autoFilterDateGrouping="1"/>
  </bookViews>
  <sheets>
    <sheet name="專案材料表" sheetId="1" state="visible" r:id="rId1"/>
  </sheets>
  <definedNames>
    <definedName name="頁首">專案材料表!$B$1</definedName>
    <definedName name="電機材料表">專案材料表!$G$311</definedName>
    <definedName name="電機材料表之頁尾_link">專案材料表!$J$513</definedName>
    <definedName name="機械材料表">專案材料表!$G$6</definedName>
    <definedName name="機械材料表之頁尾">專案材料表!$J$310</definedName>
    <definedName name="_xlnm._FilterDatabase" localSheetId="0" hidden="1">'專案材料表'!$A$4:$BK$524</definedName>
    <definedName name="_xlnm.Print_Titles" localSheetId="0">'專案材料表'!$4:$5</definedName>
    <definedName name="_xlnm.Print_Area" localSheetId="0">'專案材料表'!$A$1:$CS$525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m/d;@"/>
    <numFmt numFmtId="165" formatCode="#,##0_ ;[Red]\-#,##0\ "/>
  </numFmts>
  <fonts count="52">
    <font>
      <name val="新細明體"/>
      <family val="2"/>
      <color theme="1"/>
      <sz val="12"/>
      <scheme val="minor"/>
    </font>
    <font>
      <name val="標楷體"/>
      <charset val="136"/>
      <family val="4"/>
      <b val="1"/>
      <color theme="3" tint="-0.499984740745262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color rgb="FFC00000"/>
      <sz val="12"/>
      <u val="single"/>
      <scheme val="minor"/>
    </font>
    <font>
      <name val="新細明體"/>
      <charset val="136"/>
      <family val="1"/>
      <color rgb="FFC00000"/>
      <sz val="12"/>
      <scheme val="minor"/>
    </font>
    <font>
      <name val="新細明體"/>
      <family val="2"/>
      <color theme="1"/>
      <sz val="10"/>
      <scheme val="minor"/>
    </font>
    <font>
      <name val="標楷體"/>
      <charset val="136"/>
      <family val="4"/>
      <color theme="1"/>
      <sz val="10"/>
    </font>
    <font>
      <name val="新細明體"/>
      <family val="2"/>
      <color theme="10"/>
      <sz val="12"/>
      <u val="single"/>
      <scheme val="minor"/>
    </font>
    <font>
      <name val="新細明體"/>
      <family val="2"/>
      <color theme="10"/>
      <sz val="10"/>
      <u val="single"/>
      <scheme val="minor"/>
    </font>
    <font>
      <name val="新細明體"/>
      <charset val="136"/>
      <family val="1"/>
      <color theme="10"/>
      <sz val="10"/>
      <u val="single"/>
      <scheme val="minor"/>
    </font>
    <font>
      <name val="微軟正黑體"/>
      <charset val="136"/>
      <family val="2"/>
      <color rgb="FF0000CC"/>
      <sz val="10"/>
    </font>
    <font>
      <name val="微軟正黑體"/>
      <charset val="136"/>
      <family val="2"/>
      <color rgb="FFFF0000"/>
      <sz val="12"/>
    </font>
    <font>
      <name val="新細明體"/>
      <charset val="136"/>
      <family val="1"/>
      <b val="1"/>
      <color theme="1"/>
      <sz val="10"/>
      <scheme val="minor"/>
    </font>
    <font>
      <name val="新細明體"/>
      <charset val="136"/>
      <family val="1"/>
      <b val="1"/>
      <color rgb="FFFF0000"/>
      <sz val="10"/>
      <scheme val="minor"/>
    </font>
    <font>
      <name val="新細明體"/>
      <charset val="136"/>
      <family val="1"/>
      <b val="1"/>
      <sz val="10"/>
      <scheme val="minor"/>
    </font>
    <font>
      <name val="新細明體"/>
      <charset val="136"/>
      <family val="1"/>
      <color theme="3" tint="-0.249977111117893"/>
      <sz val="12"/>
      <scheme val="minor"/>
    </font>
    <font>
      <name val="新細明體"/>
      <charset val="136"/>
      <family val="1"/>
      <b val="1"/>
      <color theme="3" tint="-0.249977111117893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u val="single"/>
      <scheme val="minor"/>
    </font>
    <font>
      <name val="標楷體"/>
      <charset val="136"/>
      <family val="4"/>
      <b val="1"/>
      <sz val="12"/>
      <u val="single"/>
    </font>
    <font>
      <name val="標楷體"/>
      <charset val="136"/>
      <family val="4"/>
      <b val="1"/>
      <color rgb="FFFF0000"/>
      <sz val="12"/>
    </font>
    <font>
      <name val="標楷體"/>
      <charset val="136"/>
      <family val="4"/>
      <b val="1"/>
      <color theme="1" tint="0.3499862666707358"/>
      <sz val="12"/>
    </font>
    <font>
      <name val="新細明體"/>
      <charset val="136"/>
      <family val="1"/>
      <color theme="1"/>
      <sz val="10"/>
      <scheme val="minor"/>
    </font>
    <font>
      <name val="微軟正黑體"/>
      <charset val="136"/>
      <family val="2"/>
      <b val="1"/>
      <color theme="1"/>
      <sz val="10"/>
    </font>
    <font>
      <name val="微軟正黑體"/>
      <charset val="136"/>
      <family val="2"/>
      <b val="1"/>
      <color theme="1"/>
      <sz val="8"/>
    </font>
    <font>
      <name val="微軟正黑體"/>
      <charset val="136"/>
      <family val="2"/>
      <b val="1"/>
      <color rgb="FF0000CC"/>
      <sz val="10"/>
    </font>
    <font>
      <name val="微軟正黑體"/>
      <charset val="136"/>
      <family val="2"/>
      <b val="1"/>
      <color theme="6" tint="-0.499984740745262"/>
      <sz val="10"/>
    </font>
    <font>
      <name val="微軟正黑體"/>
      <charset val="136"/>
      <family val="2"/>
      <b val="1"/>
      <sz val="10"/>
    </font>
    <font>
      <name val="微軟正黑體"/>
      <charset val="136"/>
      <family val="2"/>
      <color theme="1"/>
      <sz val="10"/>
    </font>
    <font>
      <name val="新細明體"/>
      <charset val="136"/>
      <family val="1"/>
      <sz val="12"/>
    </font>
    <font>
      <name val="微軟正黑體"/>
      <charset val="136"/>
      <family val="2"/>
      <sz val="10"/>
    </font>
    <font>
      <name val="微軟正黑體"/>
      <charset val="136"/>
      <family val="2"/>
      <color theme="10"/>
      <sz val="10"/>
      <u val="single"/>
    </font>
    <font>
      <name val="微軟正黑體"/>
      <charset val="136"/>
      <family val="2"/>
      <sz val="8"/>
    </font>
    <font>
      <name val="微軟正黑體"/>
      <charset val="136"/>
      <family val="2"/>
      <sz val="8"/>
      <u val="single"/>
    </font>
    <font>
      <name val="微軟正黑體"/>
      <charset val="136"/>
      <family val="2"/>
      <color theme="1"/>
      <sz val="8"/>
    </font>
    <font>
      <name val="微軟正黑體"/>
      <charset val="136"/>
      <family val="2"/>
      <b val="1"/>
      <color rgb="FF000099"/>
      <sz val="10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0"/>
      <sz val="10"/>
    </font>
    <font>
      <name val="微軟正黑體"/>
      <charset val="136"/>
      <family val="2"/>
      <b val="1"/>
      <color rgb="FFFF0000"/>
      <sz val="10"/>
    </font>
    <font>
      <name val="細明體"/>
      <charset val="136"/>
      <family val="3"/>
      <b val="1"/>
      <color indexed="81"/>
      <sz val="9"/>
    </font>
    <font>
      <name val="細明體"/>
      <charset val="136"/>
      <family val="3"/>
      <color indexed="81"/>
      <sz val="9"/>
    </font>
    <font>
      <name val="微軟正黑體"/>
      <charset val="136"/>
      <family val="2"/>
      <color rgb="FFFF0000"/>
      <sz val="10"/>
    </font>
    <font>
      <name val="微軟正黑體"/>
      <charset val="136"/>
      <family val="2"/>
      <color theme="0" tint="-0.499984740745262"/>
      <sz val="8"/>
    </font>
    <font>
      <name val="新細明體"/>
      <charset val="136"/>
      <family val="1"/>
      <color rgb="FFFF0000"/>
      <sz val="10"/>
      <scheme val="minor"/>
    </font>
    <font>
      <name val="微軟正黑體"/>
      <charset val="136"/>
      <family val="2"/>
      <b val="1"/>
      <color theme="0" tint="-0.499984740745262"/>
      <sz val="8"/>
    </font>
    <font>
      <name val="微軟正黑體"/>
      <charset val="136"/>
      <family val="2"/>
      <b val="1"/>
      <color rgb="FF339933"/>
      <sz val="15"/>
    </font>
    <font>
      <name val="微軟正黑體"/>
      <charset val="136"/>
      <family val="2"/>
      <b val="1"/>
      <color rgb="FF000099"/>
      <sz val="15"/>
    </font>
    <font>
      <name val="微軟正黑體"/>
      <charset val="136"/>
      <family val="2"/>
      <color rgb="FF339933"/>
      <sz val="12"/>
    </font>
    <font>
      <name val="微軟正黑體"/>
      <charset val="136"/>
      <family val="2"/>
      <color rgb="FF000099"/>
      <sz val="12"/>
    </font>
    <font>
      <name val="新細明體"/>
      <charset val="136"/>
      <family val="1"/>
      <b val="1"/>
      <color rgb="FFC00000"/>
      <sz val="12"/>
      <scheme val="minor"/>
    </font>
    <font>
      <name val="新細明體"/>
      <charset val="136"/>
      <family val="1"/>
      <b val="1"/>
      <color rgb="FF002060"/>
      <sz val="10"/>
      <scheme val="minor"/>
    </font>
    <font>
      <name val="微軟正黑體"/>
      <charset val="136"/>
      <family val="2"/>
      <b val="1"/>
      <color rgb="FF002060"/>
      <sz val="10"/>
    </font>
  </fonts>
  <fills count="29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71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"/>
        <bgColor indexed="64"/>
      </patternFill>
    </fill>
  </fills>
  <borders count="2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ck">
        <color rgb="FF00B050"/>
      </top>
      <bottom style="thin">
        <color rgb="FF00B050"/>
      </bottom>
      <diagonal/>
    </border>
    <border>
      <left/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rgb="FF00B050"/>
      </top>
      <bottom style="thick">
        <color rgb="FF00B050"/>
      </bottom>
      <diagonal/>
    </border>
    <border>
      <left/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medium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thin">
        <color theme="5" tint="-0.499984740745262"/>
      </left>
      <right style="medium">
        <color theme="5" tint="-0.499984740745262"/>
      </right>
      <top style="thick">
        <color theme="5" tint="-0.499984740745262"/>
      </top>
      <bottom/>
      <diagonal/>
    </border>
    <border>
      <left/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ck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medium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thick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/>
      <top/>
      <bottom style="thick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medium">
        <color rgb="FF00B050"/>
      </left>
      <right style="thick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/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ck">
        <color theme="4"/>
      </right>
      <top/>
      <bottom style="thin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medium">
        <color rgb="FF00B050"/>
      </left>
      <right style="thick">
        <color rgb="FF00B050"/>
      </right>
      <top/>
      <bottom style="thin">
        <color rgb="FF00B050"/>
      </bottom>
      <diagonal/>
    </border>
    <border>
      <left style="thick">
        <color theme="4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 style="thick">
        <color theme="4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 style="thick">
        <color theme="0" tint="-0.49998474074526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0" tint="-0.499984740745262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/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/>
      <right style="medium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ck">
        <color theme="5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ck">
        <color theme="4"/>
      </right>
      <top style="thin">
        <color theme="4"/>
      </top>
      <bottom/>
      <diagonal/>
    </border>
    <border>
      <left style="medium">
        <color rgb="FF00B050"/>
      </left>
      <right style="thick">
        <color rgb="FF00B050"/>
      </right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medium">
        <color theme="0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medium">
        <color theme="0" tint="-0.499984740745262"/>
      </top>
      <bottom style="thin">
        <color theme="4"/>
      </bottom>
      <diagonal/>
    </border>
    <border>
      <left/>
      <right style="thin">
        <color theme="4"/>
      </right>
      <top style="medium">
        <color theme="0" tint="-0.49998474074526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0" tint="-0.499984740745262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medium">
        <color theme="0" tint="-0.499984740745262"/>
      </top>
      <bottom style="thin">
        <color theme="4"/>
      </bottom>
      <diagonal/>
    </border>
    <border>
      <left style="medium">
        <color rgb="FF00B050"/>
      </left>
      <right style="thick">
        <color rgb="FF00B050"/>
      </right>
      <top style="medium">
        <color theme="0" tint="-0.499984740745262"/>
      </top>
      <bottom style="thin">
        <color rgb="FF00B050"/>
      </bottom>
      <diagonal/>
    </border>
    <border>
      <left/>
      <right style="thin">
        <color rgb="FF00B050"/>
      </right>
      <top style="medium">
        <color theme="0" tint="-0.499984740745262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theme="0" tint="-0.499984740745262"/>
      </top>
      <bottom style="thin">
        <color rgb="FF00B050"/>
      </bottom>
      <diagonal/>
    </border>
    <border>
      <left style="thin">
        <color rgb="FF00B050"/>
      </left>
      <right/>
      <top style="medium">
        <color theme="0" tint="-0.499984740745262"/>
      </top>
      <bottom style="thin">
        <color rgb="FF00B050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rgb="FF00B050"/>
      </left>
      <right/>
      <top style="thin">
        <color rgb="FF00B050"/>
      </top>
      <bottom style="thick">
        <color rgb="FF00B050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thick">
        <color theme="0" tint="-0.499984740745262"/>
      </right>
      <top style="thick">
        <color theme="5" tint="-0.499984740745262"/>
      </top>
      <bottom/>
      <diagonal/>
    </border>
    <border>
      <left style="thick">
        <color theme="0" tint="-0.499984740745262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ck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ck">
        <color theme="0" tint="-0.499984740745262"/>
      </right>
      <top/>
      <bottom style="medium">
        <color theme="0" tint="-0.499984740745262"/>
      </bottom>
      <diagonal/>
    </border>
    <border>
      <left style="thick">
        <color theme="0" tint="-0.499984740745262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7" tint="0.3999145481734672"/>
      </left>
      <right/>
      <top style="medium">
        <color theme="7" tint="0.3999145481734672"/>
      </top>
      <bottom style="thin">
        <color theme="7" tint="0.3999450666829432"/>
      </bottom>
      <diagonal/>
    </border>
    <border>
      <left/>
      <right/>
      <top style="medium">
        <color theme="7" tint="0.3999145481734672"/>
      </top>
      <bottom style="thin">
        <color theme="7" tint="0.3999450666829432"/>
      </bottom>
      <diagonal/>
    </border>
    <border>
      <left/>
      <right style="medium">
        <color theme="7" tint="0.3999145481734672"/>
      </right>
      <top style="medium">
        <color theme="7" tint="0.3999145481734672"/>
      </top>
      <bottom style="thin">
        <color theme="7" tint="0.3999450666829432"/>
      </bottom>
      <diagonal/>
    </border>
    <border>
      <left style="medium">
        <color theme="7" tint="0.3999145481734672"/>
      </left>
      <right/>
      <top style="thin">
        <color theme="7" tint="0.3999450666829432"/>
      </top>
      <bottom style="thin">
        <color theme="7" tint="0.3999450666829432"/>
      </bottom>
      <diagonal/>
    </border>
    <border>
      <left/>
      <right/>
      <top style="thin">
        <color theme="7" tint="0.3999450666829432"/>
      </top>
      <bottom style="thin">
        <color theme="7" tint="0.3999450666829432"/>
      </bottom>
      <diagonal/>
    </border>
    <border>
      <left/>
      <right style="medium">
        <color theme="7" tint="0.3999145481734672"/>
      </right>
      <top style="thin">
        <color theme="7" tint="0.3999450666829432"/>
      </top>
      <bottom style="thin">
        <color theme="7" tint="0.3999450666829432"/>
      </bottom>
      <diagonal/>
    </border>
    <border>
      <left style="medium">
        <color theme="7" tint="0.3999145481734672"/>
      </left>
      <right/>
      <top style="thin">
        <color theme="7" tint="0.3999450666829432"/>
      </top>
      <bottom style="medium">
        <color theme="7" tint="0.3999145481734672"/>
      </bottom>
      <diagonal/>
    </border>
    <border>
      <left/>
      <right/>
      <top style="thin">
        <color theme="7" tint="0.3999450666829432"/>
      </top>
      <bottom style="medium">
        <color theme="7" tint="0.3999145481734672"/>
      </bottom>
      <diagonal/>
    </border>
    <border>
      <left style="thin">
        <color theme="5" tint="-0.499984740745262"/>
      </left>
      <right style="medium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/>
      <right/>
      <top/>
      <bottom style="medium">
        <color theme="7" tint="0.3998840296639912"/>
      </bottom>
      <diagonal/>
    </border>
    <border>
      <left/>
      <right style="medium">
        <color theme="7" tint="0.3999145481734672"/>
      </right>
      <top style="thin">
        <color theme="7" tint="0.3999450666829432"/>
      </top>
      <bottom style="medium">
        <color theme="7" tint="0.399884029663991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0" tint="-0.499984740745262"/>
      </left>
      <right style="thin">
        <color theme="0" tint="-0.499984740745262"/>
      </right>
      <top/>
      <bottom/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theme="5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5" tint="-0.499984740745262"/>
      </left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medium">
        <color theme="5" tint="-0.499984740745262"/>
      </left>
      <right/>
      <top/>
      <bottom/>
      <diagonal/>
    </border>
    <border>
      <left style="medium">
        <color theme="5" tint="-0.499984740745262"/>
      </left>
      <right style="thin">
        <color theme="5" tint="-0.499984740745262"/>
      </right>
      <top/>
      <bottom/>
      <diagonal/>
    </border>
    <border>
      <left style="thick">
        <color theme="5" tint="-0.499984740745262"/>
      </left>
      <right/>
      <top/>
      <bottom/>
      <diagonal/>
    </border>
    <border>
      <left style="thick">
        <color theme="5" tint="-0.499984740745262"/>
      </left>
      <right style="thick">
        <color theme="5" tint="-0.499984740745262"/>
      </right>
      <top/>
      <bottom/>
      <diagonal/>
    </border>
    <border>
      <left style="thick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/>
      <top style="thick">
        <color theme="5" tint="-0.499984740745262"/>
      </top>
      <bottom style="thick">
        <color theme="5" tint="-0.499984740745262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5" tint="-0.499984740745262"/>
      </left>
      <right style="thick">
        <color theme="5" tint="-0.499984740745262"/>
      </right>
      <top/>
      <bottom/>
      <diagonal/>
    </border>
    <border>
      <left style="thick">
        <color theme="5" tint="-0.499984740745262"/>
      </left>
      <right style="thin">
        <color theme="0" tint="-0.499984740745262"/>
      </right>
      <top/>
      <bottom/>
      <diagonal/>
    </border>
    <border>
      <left style="thick">
        <color theme="5" tint="-0.499984740745262"/>
      </left>
      <right style="thick">
        <color rgb="FF0070C0"/>
      </right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theme="4"/>
      </left>
      <right style="thick">
        <color theme="4"/>
      </right>
      <top/>
      <bottom/>
      <diagonal/>
    </border>
    <border>
      <left/>
      <right style="thin">
        <color theme="5" tint="-0.499984740745262"/>
      </right>
      <top/>
      <bottom/>
      <diagonal/>
    </border>
  </borders>
  <cellStyleXfs count="3">
    <xf numFmtId="0" fontId="0" fillId="0" borderId="0"/>
    <xf numFmtId="0" fontId="7" fillId="0" borderId="0"/>
    <xf numFmtId="0" fontId="29" fillId="0" borderId="0" applyAlignment="1">
      <alignment vertical="center"/>
    </xf>
  </cellStyleXfs>
  <cellXfs count="77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14" fontId="8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left" vertical="center"/>
    </xf>
    <xf numFmtId="0" fontId="9" fillId="0" borderId="0" applyAlignment="1" pivotButton="0" quotePrefix="0" xfId="1">
      <alignment vertical="center"/>
    </xf>
    <xf numFmtId="0" fontId="10" fillId="0" borderId="0" applyAlignment="1" pivotButton="0" quotePrefix="0" xfId="1">
      <alignment horizontal="right" vertical="center"/>
    </xf>
    <xf numFmtId="0" fontId="12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4" fillId="3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14" fillId="3" borderId="6" applyAlignment="1" pivotButton="0" quotePrefix="0" xfId="0">
      <alignment horizontal="center" vertical="center" wrapText="1"/>
    </xf>
    <xf numFmtId="164" fontId="5" fillId="4" borderId="7" applyAlignment="1" pivotButton="0" quotePrefix="0" xfId="0">
      <alignment horizontal="center" vertical="center"/>
    </xf>
    <xf numFmtId="164" fontId="5" fillId="4" borderId="8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1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14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14" fillId="3" borderId="9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27" fillId="3" borderId="34" applyAlignment="1" pivotButton="0" quotePrefix="0" xfId="0">
      <alignment horizontal="center" vertical="center" wrapText="1"/>
    </xf>
    <xf numFmtId="0" fontId="23" fillId="0" borderId="35" applyAlignment="1" pivotButton="0" quotePrefix="0" xfId="0">
      <alignment horizontal="center" vertical="center" wrapText="1"/>
    </xf>
    <xf numFmtId="0" fontId="23" fillId="0" borderId="36" applyAlignment="1" pivotButton="0" quotePrefix="0" xfId="0">
      <alignment horizontal="center" vertical="center" wrapText="1"/>
    </xf>
    <xf numFmtId="0" fontId="23" fillId="0" borderId="37" applyAlignment="1" pivotButton="0" quotePrefix="0" xfId="0">
      <alignment horizontal="center" vertical="center" wrapText="1"/>
    </xf>
    <xf numFmtId="0" fontId="27" fillId="3" borderId="60" applyAlignment="1" pivotButton="0" quotePrefix="0" xfId="0">
      <alignment horizontal="center" vertical="center" wrapText="1"/>
    </xf>
    <xf numFmtId="164" fontId="28" fillId="4" borderId="61" applyAlignment="1" pivotButton="0" quotePrefix="0" xfId="0">
      <alignment horizontal="center" vertical="center" wrapText="1"/>
    </xf>
    <xf numFmtId="164" fontId="28" fillId="4" borderId="8" applyAlignment="1" pivotButton="0" quotePrefix="0" xfId="0">
      <alignment horizontal="center" vertical="center" wrapText="1"/>
    </xf>
    <xf numFmtId="164" fontId="28" fillId="4" borderId="62" applyAlignment="1" pivotButton="0" quotePrefix="0" xfId="0">
      <alignment horizontal="center" vertical="center" wrapText="1"/>
    </xf>
    <xf numFmtId="0" fontId="5" fillId="11" borderId="63" applyAlignment="1" pivotButton="0" quotePrefix="0" xfId="0">
      <alignment horizontal="center" vertical="center"/>
    </xf>
    <xf numFmtId="0" fontId="28" fillId="12" borderId="64" applyAlignment="1" pivotButton="0" quotePrefix="0" xfId="0">
      <alignment horizontal="center" vertical="center"/>
    </xf>
    <xf numFmtId="0" fontId="27" fillId="12" borderId="67" applyAlignment="1" pivotButton="0" quotePrefix="0" xfId="0">
      <alignment horizontal="center" vertical="center" wrapText="1"/>
    </xf>
    <xf numFmtId="0" fontId="30" fillId="12" borderId="64" applyAlignment="1" pivotButton="0" quotePrefix="0" xfId="0">
      <alignment vertical="center"/>
    </xf>
    <xf numFmtId="0" fontId="27" fillId="12" borderId="68" applyAlignment="1" pivotButton="0" quotePrefix="0" xfId="0">
      <alignment horizontal="center" vertical="center"/>
    </xf>
    <xf numFmtId="164" fontId="30" fillId="12" borderId="70" applyAlignment="1" pivotButton="0" quotePrefix="0" xfId="0">
      <alignment horizontal="left" vertical="center"/>
    </xf>
    <xf numFmtId="164" fontId="30" fillId="12" borderId="71" applyAlignment="1" pivotButton="0" quotePrefix="0" xfId="0">
      <alignment horizontal="left" vertical="center"/>
    </xf>
    <xf numFmtId="164" fontId="30" fillId="12" borderId="72" applyAlignment="1" pivotButton="0" quotePrefix="0" xfId="0">
      <alignment horizontal="left" vertical="center"/>
    </xf>
    <xf numFmtId="164" fontId="30" fillId="12" borderId="73" applyAlignment="1" pivotButton="0" quotePrefix="0" xfId="0">
      <alignment horizontal="left" vertical="center"/>
    </xf>
    <xf numFmtId="164" fontId="30" fillId="12" borderId="74" applyAlignment="1" pivotButton="0" quotePrefix="0" xfId="0">
      <alignment horizontal="left" vertical="center"/>
    </xf>
    <xf numFmtId="164" fontId="30" fillId="12" borderId="75" applyAlignment="1" pivotButton="0" quotePrefix="0" xfId="0">
      <alignment horizontal="left" vertical="center"/>
    </xf>
    <xf numFmtId="0" fontId="33" fillId="12" borderId="71" applyAlignment="1" pivotButton="0" quotePrefix="0" xfId="1">
      <alignment horizontal="left" vertical="center"/>
    </xf>
    <xf numFmtId="0" fontId="33" fillId="12" borderId="73" applyAlignment="1" pivotButton="0" quotePrefix="0" xfId="1">
      <alignment horizontal="left" vertical="center"/>
    </xf>
    <xf numFmtId="0" fontId="33" fillId="12" borderId="76" applyAlignment="1" pivotButton="0" quotePrefix="0" xfId="1">
      <alignment horizontal="left" vertical="center"/>
    </xf>
    <xf numFmtId="0" fontId="30" fillId="12" borderId="77" applyAlignment="1" pivotButton="0" quotePrefix="0" xfId="0">
      <alignment vertical="center"/>
    </xf>
    <xf numFmtId="0" fontId="30" fillId="12" borderId="69" applyAlignment="1" pivotButton="0" quotePrefix="0" xfId="0">
      <alignment vertical="center"/>
    </xf>
    <xf numFmtId="0" fontId="30" fillId="12" borderId="78" applyAlignment="1" pivotButton="0" quotePrefix="0" xfId="0">
      <alignment vertical="center"/>
    </xf>
    <xf numFmtId="0" fontId="27" fillId="12" borderId="79" applyAlignment="1" pivotButton="0" quotePrefix="0" xfId="0">
      <alignment horizontal="center" vertical="center" wrapText="1"/>
    </xf>
    <xf numFmtId="0" fontId="30" fillId="12" borderId="80" applyAlignment="1" pivotButton="0" quotePrefix="0" xfId="0">
      <alignment horizontal="right" vertical="center" wrapText="1"/>
    </xf>
    <xf numFmtId="164" fontId="28" fillId="0" borderId="61" applyAlignment="1" pivotButton="0" quotePrefix="0" xfId="0">
      <alignment horizontal="center" vertical="center" wrapText="1"/>
    </xf>
    <xf numFmtId="164" fontId="28" fillId="0" borderId="8" applyAlignment="1" pivotButton="0" quotePrefix="0" xfId="0">
      <alignment horizontal="center" vertical="center" wrapText="1"/>
    </xf>
    <xf numFmtId="164" fontId="28" fillId="0" borderId="62" applyAlignment="1" pivotButton="0" quotePrefix="0" xfId="0">
      <alignment horizontal="center" vertical="center" wrapText="1"/>
    </xf>
    <xf numFmtId="0" fontId="28" fillId="0" borderId="18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13" borderId="63" applyAlignment="1" pivotButton="0" quotePrefix="0" xfId="0">
      <alignment horizontal="center" vertical="center"/>
    </xf>
    <xf numFmtId="0" fontId="28" fillId="0" borderId="81" applyAlignment="1" pivotButton="0" quotePrefix="0" xfId="0">
      <alignment horizontal="center" vertical="center"/>
    </xf>
    <xf numFmtId="0" fontId="28" fillId="0" borderId="83" applyAlignment="1" pivotButton="0" quotePrefix="0" xfId="0">
      <alignment vertical="center"/>
    </xf>
    <xf numFmtId="0" fontId="28" fillId="0" borderId="81" applyAlignment="1" pivotButton="0" quotePrefix="0" xfId="0">
      <alignment vertical="center"/>
    </xf>
    <xf numFmtId="0" fontId="28" fillId="0" borderId="84" applyAlignment="1" pivotButton="0" quotePrefix="0" xfId="0">
      <alignment vertical="center"/>
    </xf>
    <xf numFmtId="14" fontId="34" fillId="0" borderId="83" applyAlignment="1" pivotButton="0" quotePrefix="0" xfId="0">
      <alignment horizontal="left" vertical="center"/>
    </xf>
    <xf numFmtId="14" fontId="34" fillId="0" borderId="84" applyAlignment="1" pivotButton="0" quotePrefix="0" xfId="0">
      <alignment horizontal="left" vertical="center" wrapText="1"/>
    </xf>
    <xf numFmtId="0" fontId="28" fillId="0" borderId="86" applyAlignment="1" pivotButton="0" quotePrefix="0" xfId="0">
      <alignment vertical="center"/>
    </xf>
    <xf numFmtId="0" fontId="28" fillId="0" borderId="87" applyAlignment="1" pivotButton="0" quotePrefix="0" xfId="0">
      <alignment vertical="center"/>
    </xf>
    <xf numFmtId="0" fontId="28" fillId="0" borderId="88" applyAlignment="1" pivotButton="0" quotePrefix="0" xfId="0">
      <alignment vertical="center"/>
    </xf>
    <xf numFmtId="164" fontId="28" fillId="0" borderId="89" applyAlignment="1" pivotButton="0" quotePrefix="0" xfId="0">
      <alignment horizontal="left" vertical="center"/>
    </xf>
    <xf numFmtId="164" fontId="28" fillId="0" borderId="90" applyAlignment="1" pivotButton="0" quotePrefix="0" xfId="0">
      <alignment horizontal="left" vertical="center"/>
    </xf>
    <xf numFmtId="164" fontId="28" fillId="0" borderId="91" applyAlignment="1" pivotButton="0" quotePrefix="0" xfId="0">
      <alignment horizontal="left" vertical="center"/>
    </xf>
    <xf numFmtId="164" fontId="28" fillId="0" borderId="92" applyAlignment="1" pivotButton="0" quotePrefix="0" xfId="0">
      <alignment horizontal="left" vertical="center"/>
    </xf>
    <xf numFmtId="164" fontId="28" fillId="0" borderId="93" applyAlignment="1" pivotButton="0" quotePrefix="0" xfId="0">
      <alignment horizontal="left" vertical="center"/>
    </xf>
    <xf numFmtId="164" fontId="28" fillId="0" borderId="94" applyAlignment="1" pivotButton="0" quotePrefix="0" xfId="0">
      <alignment horizontal="left" vertical="center"/>
    </xf>
    <xf numFmtId="164" fontId="28" fillId="0" borderId="95" applyAlignment="1" pivotButton="0" quotePrefix="0" xfId="0">
      <alignment horizontal="left" vertical="center"/>
    </xf>
    <xf numFmtId="165" fontId="28" fillId="11" borderId="90" applyAlignment="1" pivotButton="0" quotePrefix="0" xfId="0">
      <alignment horizontal="center" vertical="center"/>
    </xf>
    <xf numFmtId="165" fontId="28" fillId="11" borderId="92" applyAlignment="1" pivotButton="0" quotePrefix="0" xfId="0">
      <alignment horizontal="center" vertical="center"/>
    </xf>
    <xf numFmtId="0" fontId="31" fillId="11" borderId="92" applyAlignment="1" pivotButton="0" quotePrefix="0" xfId="1">
      <alignment horizontal="left" vertical="center"/>
    </xf>
    <xf numFmtId="0" fontId="31" fillId="11" borderId="96" applyAlignment="1" pivotButton="0" quotePrefix="0" xfId="1">
      <alignment horizontal="left" vertical="center"/>
    </xf>
    <xf numFmtId="0" fontId="28" fillId="0" borderId="97" applyAlignment="1" pivotButton="0" quotePrefix="0" xfId="0">
      <alignment vertical="center"/>
    </xf>
    <xf numFmtId="0" fontId="28" fillId="0" borderId="98" applyAlignment="1" pivotButton="0" quotePrefix="0" xfId="0">
      <alignment vertical="center"/>
    </xf>
    <xf numFmtId="0" fontId="28" fillId="0" borderId="100" applyAlignment="1" pivotButton="0" quotePrefix="0" xfId="0">
      <alignment vertical="center"/>
    </xf>
    <xf numFmtId="0" fontId="28" fillId="11" borderId="101" applyAlignment="1" pivotButton="0" quotePrefix="0" xfId="0">
      <alignment horizontal="right" vertical="center" wrapText="1"/>
    </xf>
    <xf numFmtId="0" fontId="28" fillId="0" borderId="86" applyAlignment="1" pivotButton="0" quotePrefix="0" xfId="0">
      <alignment horizontal="center" vertical="center"/>
    </xf>
    <xf numFmtId="0" fontId="28" fillId="0" borderId="81" applyAlignment="1" pivotButton="0" quotePrefix="0" xfId="0">
      <alignment horizontal="left" vertical="center"/>
    </xf>
    <xf numFmtId="0" fontId="28" fillId="0" borderId="84" applyAlignment="1" pivotButton="0" quotePrefix="0" xfId="0">
      <alignment horizontal="left" vertical="center"/>
    </xf>
    <xf numFmtId="0" fontId="28" fillId="0" borderId="85" applyAlignment="1" pivotButton="0" quotePrefix="0" xfId="0">
      <alignment horizontal="left" vertical="center"/>
    </xf>
    <xf numFmtId="0" fontId="28" fillId="0" borderId="34" applyAlignment="1" pivotButton="0" quotePrefix="0" xfId="0">
      <alignment horizontal="right" vertical="center" wrapText="1"/>
    </xf>
    <xf numFmtId="0" fontId="28" fillId="0" borderId="106" applyAlignment="1" pivotButton="0" quotePrefix="0" xfId="0">
      <alignment horizontal="right" vertical="center" wrapText="1"/>
    </xf>
    <xf numFmtId="0" fontId="28" fillId="0" borderId="36" applyAlignment="1" pivotButton="0" quotePrefix="0" xfId="0">
      <alignment horizontal="right" vertical="center" wrapText="1"/>
    </xf>
    <xf numFmtId="0" fontId="28" fillId="0" borderId="107" applyAlignment="1" pivotButton="0" quotePrefix="0" xfId="0">
      <alignment horizontal="right" vertical="center" wrapText="1"/>
    </xf>
    <xf numFmtId="165" fontId="28" fillId="11" borderId="110" applyAlignment="1" pivotButton="0" quotePrefix="0" xfId="0">
      <alignment horizontal="center" vertical="center"/>
    </xf>
    <xf numFmtId="165" fontId="28" fillId="11" borderId="112" applyAlignment="1" pivotButton="0" quotePrefix="0" xfId="0">
      <alignment horizontal="center" vertical="center"/>
    </xf>
    <xf numFmtId="0" fontId="31" fillId="11" borderId="112" applyAlignment="1" pivotButton="0" quotePrefix="0" xfId="1">
      <alignment horizontal="left" vertical="center"/>
    </xf>
    <xf numFmtId="0" fontId="31" fillId="11" borderId="114" applyAlignment="1" pivotButton="0" quotePrefix="0" xfId="1">
      <alignment horizontal="left" vertical="center"/>
    </xf>
    <xf numFmtId="165" fontId="28" fillId="11" borderId="117" applyAlignment="1" pivotButton="0" quotePrefix="0" xfId="0">
      <alignment horizontal="center" vertical="center"/>
    </xf>
    <xf numFmtId="165" fontId="28" fillId="11" borderId="119" applyAlignment="1" pivotButton="0" quotePrefix="0" xfId="0">
      <alignment horizontal="center" vertical="center"/>
    </xf>
    <xf numFmtId="0" fontId="31" fillId="11" borderId="119" applyAlignment="1" pivotButton="0" quotePrefix="0" xfId="1">
      <alignment horizontal="left" vertical="center"/>
    </xf>
    <xf numFmtId="0" fontId="31" fillId="11" borderId="121" applyAlignment="1" pivotButton="0" quotePrefix="0" xfId="1">
      <alignment horizontal="left" vertical="center"/>
    </xf>
    <xf numFmtId="165" fontId="28" fillId="11" borderId="124" applyAlignment="1" pivotButton="0" quotePrefix="0" xfId="0">
      <alignment horizontal="center" vertical="center"/>
    </xf>
    <xf numFmtId="165" fontId="28" fillId="11" borderId="126" applyAlignment="1" pivotButton="0" quotePrefix="0" xfId="0">
      <alignment horizontal="center" vertical="center"/>
    </xf>
    <xf numFmtId="0" fontId="31" fillId="11" borderId="126" applyAlignment="1" pivotButton="0" quotePrefix="0" xfId="1">
      <alignment horizontal="left" vertical="center"/>
    </xf>
    <xf numFmtId="0" fontId="31" fillId="11" borderId="128" applyAlignment="1" pivotButton="0" quotePrefix="0" xfId="1">
      <alignment horizontal="left" vertical="center"/>
    </xf>
    <xf numFmtId="0" fontId="28" fillId="12" borderId="39" applyAlignment="1" pivotButton="0" quotePrefix="0" xfId="0">
      <alignment horizontal="center" vertical="center"/>
    </xf>
    <xf numFmtId="0" fontId="28" fillId="12" borderId="41" applyAlignment="1" pivotButton="0" quotePrefix="0" xfId="0">
      <alignment vertical="center"/>
    </xf>
    <xf numFmtId="0" fontId="28" fillId="12" borderId="39" applyAlignment="1" pivotButton="0" quotePrefix="0" xfId="0">
      <alignment vertical="center"/>
    </xf>
    <xf numFmtId="0" fontId="28" fillId="12" borderId="39" applyAlignment="1" pivotButton="0" quotePrefix="0" xfId="0">
      <alignment horizontal="left" vertical="center"/>
    </xf>
    <xf numFmtId="0" fontId="28" fillId="12" borderId="42" applyAlignment="1" pivotButton="0" quotePrefix="0" xfId="0">
      <alignment horizontal="left" vertical="center"/>
    </xf>
    <xf numFmtId="0" fontId="28" fillId="12" borderId="43" applyAlignment="1" pivotButton="0" quotePrefix="0" xfId="0">
      <alignment horizontal="left" vertical="center"/>
    </xf>
    <xf numFmtId="0" fontId="28" fillId="14" borderId="83" applyAlignment="1" pivotButton="0" quotePrefix="0" xfId="0">
      <alignment vertical="center"/>
    </xf>
    <xf numFmtId="0" fontId="28" fillId="12" borderId="42" applyAlignment="1" pivotButton="0" quotePrefix="0" xfId="0">
      <alignment vertical="center"/>
    </xf>
    <xf numFmtId="14" fontId="34" fillId="12" borderId="41" applyAlignment="1" pivotButton="0" quotePrefix="0" xfId="0">
      <alignment horizontal="left" vertical="center"/>
    </xf>
    <xf numFmtId="0" fontId="28" fillId="12" borderId="44" applyAlignment="1" pivotButton="0" quotePrefix="0" xfId="0">
      <alignment vertical="center"/>
    </xf>
    <xf numFmtId="0" fontId="28" fillId="12" borderId="45" applyAlignment="1" pivotButton="0" quotePrefix="0" xfId="0">
      <alignment vertical="center"/>
    </xf>
    <xf numFmtId="0" fontId="28" fillId="12" borderId="129" applyAlignment="1" pivotButton="0" quotePrefix="0" xfId="0">
      <alignment vertical="center"/>
    </xf>
    <xf numFmtId="164" fontId="28" fillId="12" borderId="130" applyAlignment="1" pivotButton="0" quotePrefix="0" xfId="0">
      <alignment horizontal="left" vertical="center"/>
    </xf>
    <xf numFmtId="164" fontId="28" fillId="12" borderId="131" applyAlignment="1" pivotButton="0" quotePrefix="0" xfId="0">
      <alignment horizontal="left" vertical="center"/>
    </xf>
    <xf numFmtId="164" fontId="28" fillId="12" borderId="132" applyAlignment="1" pivotButton="0" quotePrefix="0" xfId="0">
      <alignment horizontal="left" vertical="center"/>
    </xf>
    <xf numFmtId="164" fontId="28" fillId="12" borderId="133" applyAlignment="1" pivotButton="0" quotePrefix="0" xfId="0">
      <alignment horizontal="left" vertical="center"/>
    </xf>
    <xf numFmtId="164" fontId="28" fillId="12" borderId="134" applyAlignment="1" pivotButton="0" quotePrefix="0" xfId="0">
      <alignment horizontal="left" vertical="center"/>
    </xf>
    <xf numFmtId="164" fontId="28" fillId="12" borderId="135" applyAlignment="1" pivotButton="0" quotePrefix="0" xfId="0">
      <alignment horizontal="left" vertical="center"/>
    </xf>
    <xf numFmtId="165" fontId="28" fillId="12" borderId="131" applyAlignment="1" pivotButton="0" quotePrefix="0" xfId="0">
      <alignment horizontal="center" vertical="center"/>
    </xf>
    <xf numFmtId="165" fontId="28" fillId="12" borderId="133" applyAlignment="1" pivotButton="0" quotePrefix="0" xfId="0">
      <alignment horizontal="center" vertical="center"/>
    </xf>
    <xf numFmtId="0" fontId="31" fillId="12" borderId="133" applyAlignment="1" pivotButton="0" quotePrefix="0" xfId="1">
      <alignment horizontal="left" vertical="center"/>
    </xf>
    <xf numFmtId="0" fontId="31" fillId="12" borderId="136" applyAlignment="1" pivotButton="0" quotePrefix="0" xfId="1">
      <alignment horizontal="left" vertical="center"/>
    </xf>
    <xf numFmtId="0" fontId="28" fillId="12" borderId="55" applyAlignment="1" pivotButton="0" quotePrefix="0" xfId="0">
      <alignment vertical="center"/>
    </xf>
    <xf numFmtId="0" fontId="28" fillId="12" borderId="137" applyAlignment="1" pivotButton="0" quotePrefix="0" xfId="0">
      <alignment vertical="center"/>
    </xf>
    <xf numFmtId="0" fontId="28" fillId="12" borderId="138" applyAlignment="1" pivotButton="0" quotePrefix="0" xfId="0">
      <alignment vertical="center"/>
    </xf>
    <xf numFmtId="0" fontId="28" fillId="12" borderId="139" applyAlignment="1" pivotButton="0" quotePrefix="0" xfId="0">
      <alignment horizontal="right" vertical="center" wrapText="1"/>
    </xf>
    <xf numFmtId="0" fontId="27" fillId="3" borderId="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0" fontId="28" fillId="12" borderId="65" applyAlignment="1" pivotButton="0" quotePrefix="0" xfId="0">
      <alignment vertical="center"/>
    </xf>
    <xf numFmtId="0" fontId="28" fillId="12" borderId="64" applyAlignment="1" pivotButton="0" quotePrefix="0" xfId="0">
      <alignment vertical="center"/>
    </xf>
    <xf numFmtId="0" fontId="28" fillId="12" borderId="64" applyAlignment="1" pivotButton="0" quotePrefix="0" xfId="0">
      <alignment horizontal="left" vertical="center"/>
    </xf>
    <xf numFmtId="0" fontId="28" fillId="12" borderId="66" applyAlignment="1" pivotButton="0" quotePrefix="0" xfId="0">
      <alignment horizontal="left" vertical="center"/>
    </xf>
    <xf numFmtId="0" fontId="28" fillId="12" borderId="67" applyAlignment="1" pivotButton="0" quotePrefix="0" xfId="0">
      <alignment horizontal="left" vertical="center"/>
    </xf>
    <xf numFmtId="0" fontId="28" fillId="12" borderId="66" applyAlignment="1" pivotButton="0" quotePrefix="0" xfId="0">
      <alignment vertical="center"/>
    </xf>
    <xf numFmtId="14" fontId="34" fillId="12" borderId="65" applyAlignment="1" pivotButton="0" quotePrefix="0" xfId="0">
      <alignment horizontal="left" vertical="center"/>
    </xf>
    <xf numFmtId="0" fontId="28" fillId="12" borderId="68" applyAlignment="1" pivotButton="0" quotePrefix="0" xfId="0">
      <alignment vertical="center"/>
    </xf>
    <xf numFmtId="0" fontId="28" fillId="12" borderId="69" applyAlignment="1" pivotButton="0" quotePrefix="0" xfId="0">
      <alignment vertical="center"/>
    </xf>
    <xf numFmtId="0" fontId="28" fillId="12" borderId="140" applyAlignment="1" pivotButton="0" quotePrefix="0" xfId="0">
      <alignment vertical="center"/>
    </xf>
    <xf numFmtId="164" fontId="28" fillId="12" borderId="70" applyAlignment="1" pivotButton="0" quotePrefix="0" xfId="0">
      <alignment horizontal="left" vertical="center"/>
    </xf>
    <xf numFmtId="164" fontId="28" fillId="12" borderId="71" applyAlignment="1" pivotButton="0" quotePrefix="0" xfId="0">
      <alignment horizontal="left" vertical="center"/>
    </xf>
    <xf numFmtId="164" fontId="28" fillId="12" borderId="72" applyAlignment="1" pivotButton="0" quotePrefix="0" xfId="0">
      <alignment horizontal="left" vertical="center"/>
    </xf>
    <xf numFmtId="164" fontId="28" fillId="12" borderId="73" applyAlignment="1" pivotButton="0" quotePrefix="0" xfId="0">
      <alignment horizontal="left" vertical="center"/>
    </xf>
    <xf numFmtId="164" fontId="28" fillId="12" borderId="74" applyAlignment="1" pivotButton="0" quotePrefix="0" xfId="0">
      <alignment horizontal="left" vertical="center"/>
    </xf>
    <xf numFmtId="164" fontId="28" fillId="12" borderId="75" applyAlignment="1" pivotButton="0" quotePrefix="0" xfId="0">
      <alignment horizontal="left" vertical="center"/>
    </xf>
    <xf numFmtId="165" fontId="28" fillId="12" borderId="71" applyAlignment="1" pivotButton="0" quotePrefix="0" xfId="0">
      <alignment horizontal="center" vertical="center"/>
    </xf>
    <xf numFmtId="165" fontId="28" fillId="12" borderId="73" applyAlignment="1" pivotButton="0" quotePrefix="0" xfId="0">
      <alignment horizontal="center" vertical="center"/>
    </xf>
    <xf numFmtId="0" fontId="31" fillId="12" borderId="73" applyAlignment="1" pivotButton="0" quotePrefix="0" xfId="1">
      <alignment horizontal="left" vertical="center"/>
    </xf>
    <xf numFmtId="0" fontId="31" fillId="12" borderId="76" applyAlignment="1" pivotButton="0" quotePrefix="0" xfId="1">
      <alignment horizontal="left" vertical="center"/>
    </xf>
    <xf numFmtId="0" fontId="28" fillId="12" borderId="77" applyAlignment="1" pivotButton="0" quotePrefix="0" xfId="0">
      <alignment vertical="center"/>
    </xf>
    <xf numFmtId="0" fontId="28" fillId="12" borderId="78" applyAlignment="1" pivotButton="0" quotePrefix="0" xfId="0">
      <alignment vertical="center"/>
    </xf>
    <xf numFmtId="0" fontId="28" fillId="12" borderId="79" applyAlignment="1" pivotButton="0" quotePrefix="0" xfId="0">
      <alignment vertical="center"/>
    </xf>
    <xf numFmtId="0" fontId="28" fillId="12" borderId="80" applyAlignment="1" pivotButton="0" quotePrefix="0" xfId="0">
      <alignment horizontal="right" vertical="center" wrapText="1"/>
    </xf>
    <xf numFmtId="0" fontId="27" fillId="3" borderId="6" applyAlignment="1" pivotButton="0" quotePrefix="0" xfId="0">
      <alignment horizontal="center" vertical="center" wrapText="1"/>
    </xf>
    <xf numFmtId="164" fontId="28" fillId="4" borderId="7" applyAlignment="1" pivotButton="0" quotePrefix="0" xfId="0">
      <alignment horizontal="center" vertical="center"/>
    </xf>
    <xf numFmtId="164" fontId="28" fillId="4" borderId="8" applyAlignment="1" pivotButton="0" quotePrefix="0" xfId="0">
      <alignment horizontal="center" vertical="center"/>
    </xf>
    <xf numFmtId="0" fontId="28" fillId="12" borderId="81" applyAlignment="1" pivotButton="0" quotePrefix="0" xfId="0">
      <alignment horizontal="center" vertical="center"/>
    </xf>
    <xf numFmtId="0" fontId="28" fillId="12" borderId="83" applyAlignment="1" pivotButton="0" quotePrefix="0" xfId="0">
      <alignment vertical="center"/>
    </xf>
    <xf numFmtId="0" fontId="28" fillId="12" borderId="81" applyAlignment="1" pivotButton="0" quotePrefix="0" xfId="0">
      <alignment vertical="center"/>
    </xf>
    <xf numFmtId="0" fontId="28" fillId="12" borderId="81" applyAlignment="1" pivotButton="0" quotePrefix="0" xfId="0">
      <alignment horizontal="left" vertical="center"/>
    </xf>
    <xf numFmtId="0" fontId="28" fillId="12" borderId="84" applyAlignment="1" pivotButton="0" quotePrefix="0" xfId="0">
      <alignment horizontal="left" vertical="center"/>
    </xf>
    <xf numFmtId="0" fontId="28" fillId="12" borderId="85" applyAlignment="1" pivotButton="0" quotePrefix="0" xfId="0">
      <alignment horizontal="left" vertical="center"/>
    </xf>
    <xf numFmtId="0" fontId="28" fillId="12" borderId="84" applyAlignment="1" pivotButton="0" quotePrefix="0" xfId="0">
      <alignment vertical="center"/>
    </xf>
    <xf numFmtId="14" fontId="34" fillId="12" borderId="83" applyAlignment="1" pivotButton="0" quotePrefix="0" xfId="0">
      <alignment horizontal="left" vertical="center"/>
    </xf>
    <xf numFmtId="14" fontId="34" fillId="12" borderId="84" applyAlignment="1" pivotButton="0" quotePrefix="0" xfId="0">
      <alignment horizontal="left" vertical="center" wrapText="1"/>
    </xf>
    <xf numFmtId="0" fontId="28" fillId="12" borderId="86" applyAlignment="1" pivotButton="0" quotePrefix="0" xfId="0">
      <alignment vertical="center"/>
    </xf>
    <xf numFmtId="0" fontId="28" fillId="12" borderId="87" applyAlignment="1" pivotButton="0" quotePrefix="0" xfId="0">
      <alignment vertical="center"/>
    </xf>
    <xf numFmtId="0" fontId="28" fillId="12" borderId="88" applyAlignment="1" pivotButton="0" quotePrefix="0" xfId="0">
      <alignment vertical="center"/>
    </xf>
    <xf numFmtId="164" fontId="28" fillId="12" borderId="89" applyAlignment="1" pivotButton="0" quotePrefix="0" xfId="0">
      <alignment horizontal="left" vertical="center"/>
    </xf>
    <xf numFmtId="164" fontId="28" fillId="12" borderId="90" applyAlignment="1" pivotButton="0" quotePrefix="0" xfId="0">
      <alignment horizontal="left" vertical="center"/>
    </xf>
    <xf numFmtId="164" fontId="28" fillId="12" borderId="91" applyAlignment="1" pivotButton="0" quotePrefix="0" xfId="0">
      <alignment horizontal="left" vertical="center"/>
    </xf>
    <xf numFmtId="164" fontId="28" fillId="12" borderId="92" applyAlignment="1" pivotButton="0" quotePrefix="0" xfId="0">
      <alignment horizontal="left" vertical="center"/>
    </xf>
    <xf numFmtId="164" fontId="28" fillId="12" borderId="93" applyAlignment="1" pivotButton="0" quotePrefix="0" xfId="0">
      <alignment horizontal="left" vertical="center"/>
    </xf>
    <xf numFmtId="164" fontId="28" fillId="12" borderId="94" applyAlignment="1" pivotButton="0" quotePrefix="0" xfId="0">
      <alignment horizontal="left" vertical="center"/>
    </xf>
    <xf numFmtId="164" fontId="28" fillId="12" borderId="95" applyAlignment="1" pivotButton="0" quotePrefix="0" xfId="0">
      <alignment horizontal="left" vertical="center"/>
    </xf>
    <xf numFmtId="165" fontId="28" fillId="12" borderId="90" applyAlignment="1" pivotButton="0" quotePrefix="0" xfId="0">
      <alignment horizontal="center" vertical="center"/>
    </xf>
    <xf numFmtId="165" fontId="28" fillId="12" borderId="92" applyAlignment="1" pivotButton="0" quotePrefix="0" xfId="0">
      <alignment horizontal="center" vertical="center"/>
    </xf>
    <xf numFmtId="0" fontId="31" fillId="12" borderId="92" applyAlignment="1" pivotButton="0" quotePrefix="0" xfId="1">
      <alignment horizontal="left" vertical="center"/>
    </xf>
    <xf numFmtId="0" fontId="31" fillId="12" borderId="96" applyAlignment="1" pivotButton="0" quotePrefix="0" xfId="1">
      <alignment horizontal="left" vertical="center"/>
    </xf>
    <xf numFmtId="0" fontId="28" fillId="12" borderId="97" applyAlignment="1" pivotButton="0" quotePrefix="0" xfId="0">
      <alignment vertical="center"/>
    </xf>
    <xf numFmtId="0" fontId="28" fillId="12" borderId="98" applyAlignment="1" pivotButton="0" quotePrefix="0" xfId="0">
      <alignment vertical="center"/>
    </xf>
    <xf numFmtId="0" fontId="28" fillId="12" borderId="100" applyAlignment="1" pivotButton="0" quotePrefix="0" xfId="0">
      <alignment vertical="center"/>
    </xf>
    <xf numFmtId="0" fontId="28" fillId="12" borderId="101" applyAlignment="1" pivotButton="0" quotePrefix="0" xfId="0">
      <alignment horizontal="right" vertical="center" wrapText="1"/>
    </xf>
    <xf numFmtId="0" fontId="27" fillId="3" borderId="9" applyAlignment="1" pivotButton="0" quotePrefix="0" xfId="0">
      <alignment horizontal="center" vertical="center" wrapText="1"/>
    </xf>
    <xf numFmtId="0" fontId="23" fillId="5" borderId="10" applyAlignment="1" pivotButton="0" quotePrefix="0" xfId="0">
      <alignment horizontal="center" vertical="center" wrapText="1"/>
    </xf>
    <xf numFmtId="0" fontId="23" fillId="5" borderId="4" applyAlignment="1" pivotButton="0" quotePrefix="0" xfId="0">
      <alignment horizontal="center" vertical="center" wrapText="1"/>
    </xf>
    <xf numFmtId="0" fontId="23" fillId="5" borderId="11" applyAlignment="1" pivotButton="0" quotePrefix="0" xfId="0">
      <alignment horizontal="center" vertical="center" wrapText="1"/>
    </xf>
    <xf numFmtId="0" fontId="28" fillId="15" borderId="81" applyAlignment="1" pivotButton="0" quotePrefix="0" xfId="0">
      <alignment horizontal="left" vertical="center"/>
    </xf>
    <xf numFmtId="0" fontId="28" fillId="15" borderId="84" applyAlignment="1" pivotButton="0" quotePrefix="0" xfId="0">
      <alignment horizontal="left" vertical="center"/>
    </xf>
    <xf numFmtId="0" fontId="28" fillId="0" borderId="141" applyAlignment="1" pivotButton="0" quotePrefix="0" xfId="0">
      <alignment horizontal="right" vertical="center" wrapText="1"/>
    </xf>
    <xf numFmtId="0" fontId="28" fillId="12" borderId="34" applyAlignment="1" pivotButton="0" quotePrefix="0" xfId="0">
      <alignment horizontal="right" vertical="center" wrapText="1"/>
    </xf>
    <xf numFmtId="0" fontId="28" fillId="12" borderId="141" applyAlignment="1" pivotButton="0" quotePrefix="0" xfId="0">
      <alignment horizontal="right" vertical="center" wrapText="1"/>
    </xf>
    <xf numFmtId="0" fontId="28" fillId="12" borderId="36" applyAlignment="1" pivotButton="0" quotePrefix="0" xfId="0">
      <alignment horizontal="right" vertical="center" wrapText="1"/>
    </xf>
    <xf numFmtId="0" fontId="28" fillId="12" borderId="107" applyAlignment="1" pivotButton="0" quotePrefix="0" xfId="0">
      <alignment horizontal="right" vertical="center" wrapText="1"/>
    </xf>
    <xf numFmtId="0" fontId="28" fillId="0" borderId="142" applyAlignment="1" pivotButton="0" quotePrefix="0" xfId="0">
      <alignment horizontal="center" vertical="center"/>
    </xf>
    <xf numFmtId="0" fontId="31" fillId="15" borderId="143" applyAlignment="1" pivotButton="0" quotePrefix="0" xfId="1">
      <alignment horizontal="right" vertical="center"/>
    </xf>
    <xf numFmtId="0" fontId="28" fillId="15" borderId="142" applyAlignment="1" pivotButton="0" quotePrefix="0" xfId="0">
      <alignment horizontal="center" vertical="center"/>
    </xf>
    <xf numFmtId="0" fontId="31" fillId="15" borderId="142" pivotButton="0" quotePrefix="0" xfId="1"/>
    <xf numFmtId="0" fontId="28" fillId="15" borderId="142" applyAlignment="1" pivotButton="0" quotePrefix="0" xfId="0">
      <alignment vertical="center"/>
    </xf>
    <xf numFmtId="0" fontId="28" fillId="0" borderId="145" applyAlignment="1" pivotButton="0" quotePrefix="0" xfId="0">
      <alignment horizontal="left" vertical="center"/>
    </xf>
    <xf numFmtId="0" fontId="28" fillId="0" borderId="143" applyAlignment="1" pivotButton="0" quotePrefix="0" xfId="0">
      <alignment vertical="center"/>
    </xf>
    <xf numFmtId="0" fontId="28" fillId="0" borderId="142" applyAlignment="1" pivotButton="0" quotePrefix="0" xfId="0">
      <alignment vertical="center"/>
    </xf>
    <xf numFmtId="0" fontId="28" fillId="0" borderId="144" applyAlignment="1" pivotButton="0" quotePrefix="0" xfId="0">
      <alignment vertical="center"/>
    </xf>
    <xf numFmtId="14" fontId="34" fillId="0" borderId="143" applyAlignment="1" pivotButton="0" quotePrefix="0" xfId="0">
      <alignment horizontal="left" vertical="center"/>
    </xf>
    <xf numFmtId="14" fontId="34" fillId="0" borderId="144" applyAlignment="1" pivotButton="0" quotePrefix="0" xfId="0">
      <alignment horizontal="left" vertical="center" wrapText="1"/>
    </xf>
    <xf numFmtId="0" fontId="28" fillId="0" borderId="146" applyAlignment="1" pivotButton="0" quotePrefix="0" xfId="0">
      <alignment vertical="center"/>
    </xf>
    <xf numFmtId="0" fontId="28" fillId="0" borderId="147" applyAlignment="1" pivotButton="0" quotePrefix="0" xfId="0">
      <alignment vertical="center"/>
    </xf>
    <xf numFmtId="0" fontId="28" fillId="0" borderId="148" applyAlignment="1" pivotButton="0" quotePrefix="0" xfId="0">
      <alignment vertical="center"/>
    </xf>
    <xf numFmtId="164" fontId="28" fillId="0" borderId="149" applyAlignment="1" pivotButton="0" quotePrefix="0" xfId="0">
      <alignment horizontal="left" vertical="center"/>
    </xf>
    <xf numFmtId="164" fontId="28" fillId="0" borderId="150" applyAlignment="1" pivotButton="0" quotePrefix="0" xfId="0">
      <alignment horizontal="left" vertical="center"/>
    </xf>
    <xf numFmtId="164" fontId="28" fillId="0" borderId="151" applyAlignment="1" pivotButton="0" quotePrefix="0" xfId="0">
      <alignment horizontal="left" vertical="center"/>
    </xf>
    <xf numFmtId="164" fontId="28" fillId="0" borderId="152" applyAlignment="1" pivotButton="0" quotePrefix="0" xfId="0">
      <alignment horizontal="left" vertical="center"/>
    </xf>
    <xf numFmtId="164" fontId="28" fillId="0" borderId="153" applyAlignment="1" pivotButton="0" quotePrefix="0" xfId="0">
      <alignment horizontal="left" vertical="center"/>
    </xf>
    <xf numFmtId="164" fontId="28" fillId="0" borderId="154" applyAlignment="1" pivotButton="0" quotePrefix="0" xfId="0">
      <alignment horizontal="left" vertical="center"/>
    </xf>
    <xf numFmtId="164" fontId="28" fillId="0" borderId="155" applyAlignment="1" pivotButton="0" quotePrefix="0" xfId="0">
      <alignment horizontal="left" vertical="center"/>
    </xf>
    <xf numFmtId="165" fontId="28" fillId="11" borderId="150" applyAlignment="1" pivotButton="0" quotePrefix="0" xfId="0">
      <alignment horizontal="center" vertical="center"/>
    </xf>
    <xf numFmtId="165" fontId="28" fillId="11" borderId="152" applyAlignment="1" pivotButton="0" quotePrefix="0" xfId="0">
      <alignment horizontal="center" vertical="center"/>
    </xf>
    <xf numFmtId="0" fontId="31" fillId="11" borderId="152" applyAlignment="1" pivotButton="0" quotePrefix="0" xfId="1">
      <alignment horizontal="left" vertical="center"/>
    </xf>
    <xf numFmtId="0" fontId="31" fillId="11" borderId="156" applyAlignment="1" pivotButton="0" quotePrefix="0" xfId="1">
      <alignment horizontal="left" vertical="center"/>
    </xf>
    <xf numFmtId="0" fontId="28" fillId="0" borderId="157" applyAlignment="1" pivotButton="0" quotePrefix="0" xfId="0">
      <alignment vertical="center"/>
    </xf>
    <xf numFmtId="0" fontId="28" fillId="0" borderId="158" applyAlignment="1" pivotButton="0" quotePrefix="0" xfId="0">
      <alignment vertical="center"/>
    </xf>
    <xf numFmtId="0" fontId="28" fillId="0" borderId="159" applyAlignment="1" pivotButton="0" quotePrefix="0" xfId="0">
      <alignment vertical="center"/>
    </xf>
    <xf numFmtId="0" fontId="28" fillId="11" borderId="160" applyAlignment="1" pivotButton="0" quotePrefix="0" xfId="0">
      <alignment horizontal="right" vertical="center" wrapText="1"/>
    </xf>
    <xf numFmtId="0" fontId="28" fillId="0" borderId="161" applyAlignment="1" pivotButton="0" quotePrefix="0" xfId="0">
      <alignment horizontal="right" vertical="center" wrapText="1"/>
    </xf>
    <xf numFmtId="0" fontId="28" fillId="0" borderId="162" applyAlignment="1" pivotButton="0" quotePrefix="0" xfId="0">
      <alignment horizontal="right" vertical="center" wrapText="1"/>
    </xf>
    <xf numFmtId="0" fontId="28" fillId="0" borderId="163" applyAlignment="1" pivotButton="0" quotePrefix="0" xfId="0">
      <alignment horizontal="right" vertical="center" wrapText="1"/>
    </xf>
    <xf numFmtId="0" fontId="28" fillId="0" borderId="164" applyAlignment="1" pivotButton="0" quotePrefix="0" xfId="0">
      <alignment horizontal="right" vertical="center" wrapText="1"/>
    </xf>
    <xf numFmtId="0" fontId="28" fillId="0" borderId="165" applyAlignment="1" pivotButton="0" quotePrefix="0" xfId="0">
      <alignment horizontal="center" vertical="center"/>
    </xf>
    <xf numFmtId="0" fontId="23" fillId="0" borderId="166" applyAlignment="1" pivotButton="0" quotePrefix="0" xfId="0">
      <alignment horizontal="left" vertical="center"/>
    </xf>
    <xf numFmtId="0" fontId="28" fillId="0" borderId="165" applyAlignment="1" pivotButton="0" quotePrefix="0" xfId="0">
      <alignment vertical="center"/>
    </xf>
    <xf numFmtId="0" fontId="28" fillId="0" borderId="165" applyAlignment="1" pivotButton="0" quotePrefix="0" xfId="0">
      <alignment horizontal="left" vertical="center"/>
    </xf>
    <xf numFmtId="0" fontId="28" fillId="0" borderId="167" applyAlignment="1" pivotButton="0" quotePrefix="0" xfId="0">
      <alignment horizontal="left" vertical="center"/>
    </xf>
    <xf numFmtId="0" fontId="28" fillId="0" borderId="168" applyAlignment="1" pivotButton="0" quotePrefix="0" xfId="0">
      <alignment horizontal="left" vertical="center"/>
    </xf>
    <xf numFmtId="0" fontId="28" fillId="0" borderId="166" applyAlignment="1" pivotButton="0" quotePrefix="0" xfId="0">
      <alignment vertical="center"/>
    </xf>
    <xf numFmtId="0" fontId="28" fillId="0" borderId="167" applyAlignment="1" pivotButton="0" quotePrefix="0" xfId="0">
      <alignment vertical="center"/>
    </xf>
    <xf numFmtId="14" fontId="34" fillId="0" borderId="166" applyAlignment="1" pivotButton="0" quotePrefix="0" xfId="0">
      <alignment horizontal="left" vertical="center"/>
    </xf>
    <xf numFmtId="14" fontId="34" fillId="0" borderId="167" applyAlignment="1" pivotButton="0" quotePrefix="0" xfId="0">
      <alignment horizontal="left" vertical="center" wrapText="1"/>
    </xf>
    <xf numFmtId="0" fontId="28" fillId="0" borderId="169" applyAlignment="1" pivotButton="0" quotePrefix="0" xfId="0">
      <alignment vertical="center"/>
    </xf>
    <xf numFmtId="0" fontId="28" fillId="0" borderId="170" applyAlignment="1" pivotButton="0" quotePrefix="0" xfId="0">
      <alignment vertical="center"/>
    </xf>
    <xf numFmtId="0" fontId="28" fillId="0" borderId="171" applyAlignment="1" pivotButton="0" quotePrefix="0" xfId="0">
      <alignment vertical="center"/>
    </xf>
    <xf numFmtId="164" fontId="28" fillId="0" borderId="172" applyAlignment="1" pivotButton="0" quotePrefix="0" xfId="0">
      <alignment horizontal="left" vertical="center"/>
    </xf>
    <xf numFmtId="164" fontId="28" fillId="0" borderId="173" applyAlignment="1" pivotButton="0" quotePrefix="0" xfId="0">
      <alignment horizontal="left" vertical="center"/>
    </xf>
    <xf numFmtId="164" fontId="28" fillId="0" borderId="174" applyAlignment="1" pivotButton="0" quotePrefix="0" xfId="0">
      <alignment horizontal="left" vertical="center"/>
    </xf>
    <xf numFmtId="164" fontId="28" fillId="0" borderId="175" applyAlignment="1" pivotButton="0" quotePrefix="0" xfId="0">
      <alignment horizontal="left" vertical="center"/>
    </xf>
    <xf numFmtId="164" fontId="28" fillId="0" borderId="176" applyAlignment="1" pivotButton="0" quotePrefix="0" xfId="0">
      <alignment horizontal="left" vertical="center"/>
    </xf>
    <xf numFmtId="164" fontId="28" fillId="0" borderId="177" applyAlignment="1" pivotButton="0" quotePrefix="0" xfId="0">
      <alignment horizontal="left" vertical="center"/>
    </xf>
    <xf numFmtId="164" fontId="28" fillId="0" borderId="178" applyAlignment="1" pivotButton="0" quotePrefix="0" xfId="0">
      <alignment horizontal="left" vertical="center"/>
    </xf>
    <xf numFmtId="165" fontId="28" fillId="11" borderId="173" applyAlignment="1" pivotButton="0" quotePrefix="0" xfId="0">
      <alignment horizontal="center" vertical="center"/>
    </xf>
    <xf numFmtId="165" fontId="28" fillId="11" borderId="175" applyAlignment="1" pivotButton="0" quotePrefix="0" xfId="0">
      <alignment horizontal="center" vertical="center"/>
    </xf>
    <xf numFmtId="0" fontId="31" fillId="11" borderId="175" applyAlignment="1" pivotButton="0" quotePrefix="0" xfId="1">
      <alignment horizontal="left" vertical="center"/>
    </xf>
    <xf numFmtId="0" fontId="31" fillId="11" borderId="179" applyAlignment="1" pivotButton="0" quotePrefix="0" xfId="1">
      <alignment horizontal="left" vertical="center"/>
    </xf>
    <xf numFmtId="0" fontId="28" fillId="0" borderId="180" applyAlignment="1" pivotButton="0" quotePrefix="0" xfId="0">
      <alignment vertical="center"/>
    </xf>
    <xf numFmtId="0" fontId="28" fillId="0" borderId="181" applyAlignment="1" pivotButton="0" quotePrefix="0" xfId="0">
      <alignment vertical="center"/>
    </xf>
    <xf numFmtId="0" fontId="28" fillId="0" borderId="183" applyAlignment="1" pivotButton="0" quotePrefix="0" xfId="0">
      <alignment vertical="center"/>
    </xf>
    <xf numFmtId="0" fontId="28" fillId="11" borderId="184" applyAlignment="1" pivotButton="0" quotePrefix="0" xfId="0">
      <alignment horizontal="right" vertical="center" wrapText="1"/>
    </xf>
    <xf numFmtId="0" fontId="28" fillId="0" borderId="185" applyAlignment="1" pivotButton="0" quotePrefix="0" xfId="0">
      <alignment horizontal="right" vertical="center" wrapText="1"/>
    </xf>
    <xf numFmtId="0" fontId="28" fillId="0" borderId="186" applyAlignment="1" pivotButton="0" quotePrefix="0" xfId="0">
      <alignment horizontal="right" vertical="center" wrapText="1"/>
    </xf>
    <xf numFmtId="0" fontId="28" fillId="0" borderId="187" applyAlignment="1" pivotButton="0" quotePrefix="0" xfId="0">
      <alignment horizontal="right" vertical="center" wrapText="1"/>
    </xf>
    <xf numFmtId="0" fontId="28" fillId="0" borderId="188" applyAlignment="1" pivotButton="0" quotePrefix="0" xfId="0">
      <alignment horizontal="right" vertical="center" wrapText="1"/>
    </xf>
    <xf numFmtId="0" fontId="23" fillId="0" borderId="83" applyAlignment="1" pivotButton="0" quotePrefix="0" xfId="0">
      <alignment horizontal="left" vertical="center"/>
    </xf>
    <xf numFmtId="0" fontId="5" fillId="13" borderId="38" applyAlignment="1" pivotButton="0" quotePrefix="0" xfId="0">
      <alignment horizontal="center" vertical="center"/>
    </xf>
    <xf numFmtId="0" fontId="28" fillId="0" borderId="39" applyAlignment="1" pivotButton="0" quotePrefix="0" xfId="0">
      <alignment horizontal="center" vertical="center"/>
    </xf>
    <xf numFmtId="0" fontId="23" fillId="0" borderId="41" applyAlignment="1" pivotButton="0" quotePrefix="0" xfId="0">
      <alignment horizontal="left" vertical="center"/>
    </xf>
    <xf numFmtId="0" fontId="28" fillId="0" borderId="39" applyAlignment="1" pivotButton="0" quotePrefix="0" xfId="0">
      <alignment vertical="center"/>
    </xf>
    <xf numFmtId="0" fontId="28" fillId="0" borderId="39" applyAlignment="1" pivotButton="0" quotePrefix="0" xfId="0">
      <alignment horizontal="left" vertical="center"/>
    </xf>
    <xf numFmtId="0" fontId="28" fillId="0" borderId="42" applyAlignment="1" pivotButton="0" quotePrefix="0" xfId="0">
      <alignment horizontal="left" vertical="center"/>
    </xf>
    <xf numFmtId="0" fontId="28" fillId="0" borderId="43" applyAlignment="1" pivotButton="0" quotePrefix="0" xfId="0">
      <alignment horizontal="left" vertical="center"/>
    </xf>
    <xf numFmtId="0" fontId="28" fillId="0" borderId="41" applyAlignment="1" pivotButton="0" quotePrefix="0" xfId="0">
      <alignment vertical="center"/>
    </xf>
    <xf numFmtId="0" fontId="28" fillId="0" borderId="42" applyAlignment="1" pivotButton="0" quotePrefix="0" xfId="0">
      <alignment vertical="center"/>
    </xf>
    <xf numFmtId="14" fontId="34" fillId="0" borderId="41" applyAlignment="1" pivotButton="0" quotePrefix="0" xfId="0">
      <alignment horizontal="left" vertical="center"/>
    </xf>
    <xf numFmtId="14" fontId="34" fillId="0" borderId="42" applyAlignment="1" pivotButton="0" quotePrefix="0" xfId="0">
      <alignment horizontal="left" vertical="center" wrapText="1"/>
    </xf>
    <xf numFmtId="0" fontId="28" fillId="0" borderId="44" applyAlignment="1" pivotButton="0" quotePrefix="0" xfId="0">
      <alignment vertical="center"/>
    </xf>
    <xf numFmtId="0" fontId="28" fillId="0" borderId="45" applyAlignment="1" pivotButton="0" quotePrefix="0" xfId="0">
      <alignment vertical="center"/>
    </xf>
    <xf numFmtId="0" fontId="28" fillId="0" borderId="46" applyAlignment="1" pivotButton="0" quotePrefix="0" xfId="0">
      <alignment vertical="center"/>
    </xf>
    <xf numFmtId="164" fontId="28" fillId="0" borderId="47" applyAlignment="1" pivotButton="0" quotePrefix="0" xfId="0">
      <alignment horizontal="left" vertical="center"/>
    </xf>
    <xf numFmtId="164" fontId="28" fillId="0" borderId="50" applyAlignment="1" pivotButton="0" quotePrefix="0" xfId="0">
      <alignment horizontal="left" vertical="center"/>
    </xf>
    <xf numFmtId="164" fontId="28" fillId="0" borderId="189" applyAlignment="1" pivotButton="0" quotePrefix="0" xfId="0">
      <alignment horizontal="left" vertical="center"/>
    </xf>
    <xf numFmtId="164" fontId="28" fillId="0" borderId="53" applyAlignment="1" pivotButton="0" quotePrefix="0" xfId="0">
      <alignment horizontal="left" vertical="center"/>
    </xf>
    <xf numFmtId="164" fontId="28" fillId="0" borderId="190" applyAlignment="1" pivotButton="0" quotePrefix="0" xfId="0">
      <alignment horizontal="left" vertical="center"/>
    </xf>
    <xf numFmtId="164" fontId="28" fillId="0" borderId="52" applyAlignment="1" pivotButton="0" quotePrefix="0" xfId="0">
      <alignment horizontal="left" vertical="center"/>
    </xf>
    <xf numFmtId="164" fontId="28" fillId="0" borderId="191" applyAlignment="1" pivotButton="0" quotePrefix="0" xfId="0">
      <alignment horizontal="left" vertical="center"/>
    </xf>
    <xf numFmtId="165" fontId="28" fillId="11" borderId="50" applyAlignment="1" pivotButton="0" quotePrefix="0" xfId="0">
      <alignment horizontal="center" vertical="center"/>
    </xf>
    <xf numFmtId="165" fontId="28" fillId="11" borderId="53" applyAlignment="1" pivotButton="0" quotePrefix="0" xfId="0">
      <alignment horizontal="center" vertical="center"/>
    </xf>
    <xf numFmtId="0" fontId="31" fillId="11" borderId="53" applyAlignment="1" pivotButton="0" quotePrefix="0" xfId="1">
      <alignment horizontal="left" vertical="center"/>
    </xf>
    <xf numFmtId="0" fontId="31" fillId="11" borderId="54" applyAlignment="1" pivotButton="0" quotePrefix="0" xfId="1">
      <alignment horizontal="left" vertical="center"/>
    </xf>
    <xf numFmtId="0" fontId="28" fillId="0" borderId="55" applyAlignment="1" pivotButton="0" quotePrefix="0" xfId="0">
      <alignment vertical="center"/>
    </xf>
    <xf numFmtId="0" fontId="28" fillId="0" borderId="60" applyAlignment="1" pivotButton="0" quotePrefix="0" xfId="0">
      <alignment horizontal="right" vertical="center" wrapText="1"/>
    </xf>
    <xf numFmtId="0" fontId="28" fillId="0" borderId="7" applyAlignment="1" pivotButton="0" quotePrefix="0" xfId="0">
      <alignment horizontal="right" vertical="center" wrapText="1"/>
    </xf>
    <xf numFmtId="0" fontId="28" fillId="0" borderId="8" applyAlignment="1" pivotButton="0" quotePrefix="0" xfId="0">
      <alignment horizontal="right" vertical="center" wrapText="1"/>
    </xf>
    <xf numFmtId="0" fontId="28" fillId="0" borderId="192" applyAlignment="1" pivotButton="0" quotePrefix="0" xfId="0">
      <alignment horizontal="right" vertical="center" wrapText="1"/>
    </xf>
    <xf numFmtId="0" fontId="5" fillId="0" borderId="193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 vertical="center"/>
    </xf>
    <xf numFmtId="14" fontId="34" fillId="0" borderId="0" applyAlignment="1" pivotButton="0" quotePrefix="0" xfId="0">
      <alignment horizontal="left" vertical="center"/>
    </xf>
    <xf numFmtId="0" fontId="28" fillId="0" borderId="194" applyAlignment="1" pivotButton="0" quotePrefix="0" xfId="0">
      <alignment vertical="center"/>
    </xf>
    <xf numFmtId="0" fontId="28" fillId="0" borderId="195" applyAlignment="1" pivotButton="0" quotePrefix="0" xfId="0">
      <alignment vertical="center"/>
    </xf>
    <xf numFmtId="0" fontId="28" fillId="0" borderId="196" applyAlignment="1" pivotButton="0" quotePrefix="0" xfId="0">
      <alignment vertical="center"/>
    </xf>
    <xf numFmtId="0" fontId="23" fillId="0" borderId="100" applyAlignment="1" pivotButton="0" quotePrefix="0" xfId="0">
      <alignment vertical="center"/>
    </xf>
    <xf numFmtId="165" fontId="28" fillId="11" borderId="101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0" fontId="28" fillId="0" borderId="197" applyAlignment="1" pivotButton="0" quotePrefix="0" xfId="0">
      <alignment vertical="center"/>
    </xf>
    <xf numFmtId="165" fontId="30" fillId="11" borderId="101" applyAlignment="1" pivotButton="0" quotePrefix="0" xfId="0">
      <alignment vertical="center"/>
    </xf>
    <xf numFmtId="165" fontId="30" fillId="0" borderId="0" applyAlignment="1" pivotButton="0" quotePrefix="0" xfId="0">
      <alignment vertical="center"/>
    </xf>
    <xf numFmtId="0" fontId="5" fillId="0" borderId="198" applyAlignment="1" pivotButton="0" quotePrefix="0" xfId="0">
      <alignment horizontal="center" vertical="center"/>
    </xf>
    <xf numFmtId="0" fontId="28" fillId="0" borderId="199" applyAlignment="1" pivotButton="0" quotePrefix="0" xfId="0">
      <alignment horizontal="center" vertical="center"/>
    </xf>
    <xf numFmtId="0" fontId="28" fillId="0" borderId="199" applyAlignment="1" pivotButton="0" quotePrefix="0" xfId="0">
      <alignment vertical="center"/>
    </xf>
    <xf numFmtId="0" fontId="28" fillId="0" borderId="199" applyAlignment="1" pivotButton="0" quotePrefix="0" xfId="0">
      <alignment horizontal="left" vertical="center"/>
    </xf>
    <xf numFmtId="14" fontId="34" fillId="0" borderId="199" applyAlignment="1" pivotButton="0" quotePrefix="0" xfId="0">
      <alignment horizontal="left" vertical="center"/>
    </xf>
    <xf numFmtId="0" fontId="28" fillId="0" borderId="200" applyAlignment="1" pivotButton="0" quotePrefix="0" xfId="0">
      <alignment vertical="center"/>
    </xf>
    <xf numFmtId="0" fontId="28" fillId="0" borderId="201" applyAlignment="1" pivotButton="0" quotePrefix="0" xfId="0">
      <alignment vertical="center"/>
    </xf>
    <xf numFmtId="0" fontId="28" fillId="0" borderId="202" applyAlignment="1" pivotButton="0" quotePrefix="0" xfId="0">
      <alignment vertical="center"/>
    </xf>
    <xf numFmtId="0" fontId="23" fillId="0" borderId="58" applyAlignment="1" pivotButton="0" quotePrefix="0" xfId="0">
      <alignment vertical="center"/>
    </xf>
    <xf numFmtId="0" fontId="28" fillId="0" borderId="58" applyAlignment="1" pivotButton="0" quotePrefix="0" xfId="0">
      <alignment vertical="center"/>
    </xf>
    <xf numFmtId="165" fontId="28" fillId="11" borderId="59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 vertical="center"/>
    </xf>
    <xf numFmtId="14" fontId="28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7" fillId="16" borderId="203" applyAlignment="1" pivotButton="0" quotePrefix="0" xfId="0">
      <alignment horizontal="center" vertical="center"/>
    </xf>
    <xf numFmtId="0" fontId="27" fillId="16" borderId="204" applyAlignment="1" pivotButton="0" quotePrefix="0" xfId="0">
      <alignment horizontal="center" vertical="center"/>
    </xf>
    <xf numFmtId="0" fontId="23" fillId="16" borderId="204" applyAlignment="1" pivotButton="0" quotePrefix="0" xfId="0">
      <alignment horizontal="center" vertical="center"/>
    </xf>
    <xf numFmtId="0" fontId="23" fillId="16" borderId="20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 vertical="center"/>
    </xf>
    <xf numFmtId="14" fontId="28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06" applyAlignment="1" pivotButton="0" quotePrefix="0" xfId="0">
      <alignment vertical="center"/>
    </xf>
    <xf numFmtId="0" fontId="28" fillId="0" borderId="207" applyAlignment="1" pivotButton="0" quotePrefix="0" xfId="0">
      <alignment vertical="center"/>
    </xf>
    <xf numFmtId="0" fontId="28" fillId="0" borderId="207" applyAlignment="1" pivotButton="0" quotePrefix="0" xfId="0">
      <alignment horizontal="center" vertical="center"/>
    </xf>
    <xf numFmtId="0" fontId="28" fillId="0" borderId="208" applyAlignment="1" pivotButton="0" quotePrefix="0" xfId="0">
      <alignment vertical="center"/>
    </xf>
    <xf numFmtId="0" fontId="28" fillId="0" borderId="209" applyAlignment="1" pivotButton="0" quotePrefix="0" xfId="0">
      <alignment horizontal="right" vertical="center"/>
    </xf>
    <xf numFmtId="0" fontId="28" fillId="0" borderId="210" applyAlignment="1" pivotButton="0" quotePrefix="0" xfId="0">
      <alignment vertical="center"/>
    </xf>
    <xf numFmtId="0" fontId="28" fillId="0" borderId="210" applyAlignment="1" pivotButton="0" quotePrefix="0" xfId="0">
      <alignment horizontal="center" vertical="center"/>
    </xf>
    <xf numFmtId="0" fontId="28" fillId="0" borderId="211" applyAlignment="1" pivotButton="0" quotePrefix="0" xfId="0">
      <alignment vertical="center"/>
    </xf>
    <xf numFmtId="0" fontId="28" fillId="17" borderId="210" applyAlignment="1" pivotButton="0" quotePrefix="0" xfId="0">
      <alignment vertical="center"/>
    </xf>
    <xf numFmtId="0" fontId="28" fillId="17" borderId="210" applyAlignment="1" pivotButton="0" quotePrefix="0" xfId="0">
      <alignment horizontal="center" vertical="center"/>
    </xf>
    <xf numFmtId="0" fontId="28" fillId="18" borderId="209" applyAlignment="1" pivotButton="0" quotePrefix="0" xfId="0">
      <alignment horizontal="center" vertical="center"/>
    </xf>
    <xf numFmtId="0" fontId="28" fillId="18" borderId="210" applyAlignment="1" pivotButton="0" quotePrefix="0" xfId="0">
      <alignment vertical="center"/>
    </xf>
    <xf numFmtId="0" fontId="28" fillId="19" borderId="209" applyAlignment="1" pivotButton="0" quotePrefix="0" xfId="0">
      <alignment horizontal="center" vertical="center"/>
    </xf>
    <xf numFmtId="0" fontId="28" fillId="19" borderId="210" applyAlignment="1" pivotButton="0" quotePrefix="0" xfId="0">
      <alignment vertical="center"/>
    </xf>
    <xf numFmtId="0" fontId="28" fillId="20" borderId="209" applyAlignment="1" pivotButton="0" quotePrefix="0" xfId="0">
      <alignment horizontal="center" vertical="center"/>
    </xf>
    <xf numFmtId="0" fontId="28" fillId="20" borderId="210" applyAlignment="1" pivotButton="0" quotePrefix="0" xfId="0">
      <alignment vertical="center"/>
    </xf>
    <xf numFmtId="0" fontId="28" fillId="21" borderId="209" applyAlignment="1" pivotButton="0" quotePrefix="0" xfId="0">
      <alignment horizontal="center" vertical="center"/>
    </xf>
    <xf numFmtId="0" fontId="28" fillId="21" borderId="210" applyAlignment="1" pivotButton="0" quotePrefix="0" xfId="0">
      <alignment vertical="center"/>
    </xf>
    <xf numFmtId="0" fontId="28" fillId="22" borderId="209" applyAlignment="1" pivotButton="0" quotePrefix="0" xfId="0">
      <alignment horizontal="center" vertical="center"/>
    </xf>
    <xf numFmtId="0" fontId="28" fillId="22" borderId="210" applyAlignment="1" pivotButton="0" quotePrefix="0" xfId="0">
      <alignment vertical="center"/>
    </xf>
    <xf numFmtId="0" fontId="28" fillId="9" borderId="209" applyAlignment="1" pivotButton="0" quotePrefix="0" xfId="0">
      <alignment horizontal="center" vertical="center"/>
    </xf>
    <xf numFmtId="0" fontId="28" fillId="9" borderId="210" applyAlignment="1" pivotButton="0" quotePrefix="0" xfId="0">
      <alignment vertical="center"/>
    </xf>
    <xf numFmtId="0" fontId="28" fillId="23" borderId="209" applyAlignment="1" pivotButton="0" quotePrefix="0" xfId="0">
      <alignment horizontal="center" vertical="center"/>
    </xf>
    <xf numFmtId="0" fontId="28" fillId="23" borderId="210" applyAlignment="1" pivotButton="0" quotePrefix="0" xfId="0">
      <alignment vertical="center"/>
    </xf>
    <xf numFmtId="0" fontId="28" fillId="24" borderId="209" applyAlignment="1" pivotButton="0" quotePrefix="0" xfId="0">
      <alignment horizontal="center" vertical="center"/>
    </xf>
    <xf numFmtId="0" fontId="28" fillId="24" borderId="210" applyAlignment="1" pivotButton="0" quotePrefix="0" xfId="0">
      <alignment vertical="center"/>
    </xf>
    <xf numFmtId="0" fontId="28" fillId="25" borderId="209" applyAlignment="1" pivotButton="0" quotePrefix="0" xfId="0">
      <alignment horizontal="center" vertical="center"/>
    </xf>
    <xf numFmtId="0" fontId="28" fillId="25" borderId="210" applyAlignment="1" pivotButton="0" quotePrefix="0" xfId="0">
      <alignment vertical="center"/>
    </xf>
    <xf numFmtId="0" fontId="37" fillId="26" borderId="209" applyAlignment="1" pivotButton="0" quotePrefix="0" xfId="0">
      <alignment horizontal="center" vertical="center"/>
    </xf>
    <xf numFmtId="0" fontId="30" fillId="27" borderId="212" applyAlignment="1" pivotButton="0" quotePrefix="0" xfId="0">
      <alignment horizontal="center" vertical="center"/>
    </xf>
    <xf numFmtId="0" fontId="41" fillId="20" borderId="210" applyAlignment="1" pivotButton="0" quotePrefix="0" xfId="0">
      <alignment vertical="center"/>
    </xf>
    <xf numFmtId="0" fontId="41" fillId="20" borderId="210" applyAlignment="1" pivotButton="0" quotePrefix="0" xfId="0">
      <alignment horizontal="center" vertical="center"/>
    </xf>
    <xf numFmtId="0" fontId="23" fillId="0" borderId="207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5" fillId="28" borderId="0" applyAlignment="1" pivotButton="0" quotePrefix="0" xfId="0">
      <alignment vertical="center"/>
    </xf>
    <xf numFmtId="0" fontId="22" fillId="28" borderId="0" applyAlignment="1" pivotButton="0" quotePrefix="0" xfId="0">
      <alignment vertical="center"/>
    </xf>
    <xf numFmtId="0" fontId="22" fillId="9" borderId="0" applyAlignment="1" pivotButton="0" quotePrefix="0" xfId="0">
      <alignment horizontal="left" vertical="center"/>
    </xf>
    <xf numFmtId="0" fontId="22" fillId="20" borderId="0" applyAlignment="1" pivotButton="0" quotePrefix="0" xfId="0">
      <alignment horizontal="left" vertical="center"/>
    </xf>
    <xf numFmtId="0" fontId="5" fillId="17" borderId="0" applyAlignment="1" pivotButton="0" quotePrefix="0" xfId="0">
      <alignment vertical="center"/>
    </xf>
    <xf numFmtId="0" fontId="5" fillId="20" borderId="0" applyAlignment="1" pivotButton="0" quotePrefix="0" xfId="0">
      <alignment vertical="center"/>
    </xf>
    <xf numFmtId="164" fontId="30" fillId="12" borderId="26" applyAlignment="1" pivotButton="0" quotePrefix="0" xfId="0">
      <alignment horizontal="left" vertical="center"/>
    </xf>
    <xf numFmtId="164" fontId="30" fillId="12" borderId="27" applyAlignment="1" pivotButton="0" quotePrefix="0" xfId="0">
      <alignment horizontal="left" vertical="center"/>
    </xf>
    <xf numFmtId="164" fontId="30" fillId="12" borderId="214" applyAlignment="1" pivotButton="0" quotePrefix="0" xfId="0">
      <alignment horizontal="left" vertical="center"/>
    </xf>
    <xf numFmtId="0" fontId="22" fillId="9" borderId="0" applyAlignment="1" pivotButton="0" quotePrefix="0" xfId="0">
      <alignment horizontal="right" vertical="center"/>
    </xf>
    <xf numFmtId="0" fontId="22" fillId="20" borderId="0" applyAlignment="1" pivotButton="0" quotePrefix="0" xfId="0">
      <alignment horizontal="right" vertical="center"/>
    </xf>
    <xf numFmtId="0" fontId="28" fillId="0" borderId="216" applyAlignment="1" pivotButton="0" quotePrefix="0" xfId="0">
      <alignment vertical="center"/>
    </xf>
    <xf numFmtId="0" fontId="37" fillId="26" borderId="210" applyAlignment="1" pivotButton="0" quotePrefix="0" xfId="0">
      <alignment horizontal="left" vertical="center"/>
    </xf>
    <xf numFmtId="0" fontId="30" fillId="27" borderId="213" applyAlignment="1" pivotButton="0" quotePrefix="0" xfId="0">
      <alignment horizontal="left" vertical="center"/>
    </xf>
    <xf numFmtId="0" fontId="5" fillId="0" borderId="215" applyAlignment="1" pivotButton="0" quotePrefix="0" xfId="0">
      <alignment vertical="center"/>
    </xf>
    <xf numFmtId="0" fontId="30" fillId="0" borderId="81" applyAlignment="1" pivotButton="0" quotePrefix="0" xfId="2">
      <alignment vertical="center"/>
    </xf>
    <xf numFmtId="0" fontId="30" fillId="12" borderId="39" applyAlignment="1" pivotButton="0" quotePrefix="0" xfId="2">
      <alignment vertical="center"/>
    </xf>
    <xf numFmtId="0" fontId="30" fillId="12" borderId="81" applyAlignment="1" pivotButton="0" quotePrefix="0" xfId="2">
      <alignment vertical="center"/>
    </xf>
    <xf numFmtId="0" fontId="30" fillId="12" borderId="64" applyAlignment="1" pivotButton="0" quotePrefix="0" xfId="2">
      <alignment vertical="center"/>
    </xf>
    <xf numFmtId="0" fontId="30" fillId="0" borderId="142" applyAlignment="1" pivotButton="0" quotePrefix="0" xfId="2">
      <alignment vertical="center"/>
    </xf>
    <xf numFmtId="0" fontId="30" fillId="0" borderId="165" applyAlignment="1" pivotButton="0" quotePrefix="0" xfId="2">
      <alignment vertical="center"/>
    </xf>
    <xf numFmtId="0" fontId="30" fillId="0" borderId="39" applyAlignment="1" pivotButton="0" quotePrefix="0" xfId="2">
      <alignment vertical="center"/>
    </xf>
    <xf numFmtId="0" fontId="28" fillId="18" borderId="210" applyAlignment="1" pivotButton="0" quotePrefix="0" xfId="0">
      <alignment horizontal="center" vertical="center"/>
    </xf>
    <xf numFmtId="0" fontId="28" fillId="19" borderId="210" applyAlignment="1" pivotButton="0" quotePrefix="0" xfId="0">
      <alignment horizontal="center" vertical="center"/>
    </xf>
    <xf numFmtId="0" fontId="28" fillId="20" borderId="210" applyAlignment="1" pivotButton="0" quotePrefix="0" xfId="0">
      <alignment horizontal="center" vertical="center"/>
    </xf>
    <xf numFmtId="0" fontId="28" fillId="21" borderId="210" applyAlignment="1" pivotButton="0" quotePrefix="0" xfId="0">
      <alignment horizontal="center" vertical="center"/>
    </xf>
    <xf numFmtId="0" fontId="28" fillId="22" borderId="210" applyAlignment="1" pivotButton="0" quotePrefix="0" xfId="0">
      <alignment horizontal="center" vertical="center"/>
    </xf>
    <xf numFmtId="0" fontId="28" fillId="9" borderId="210" applyAlignment="1" pivotButton="0" quotePrefix="0" xfId="0">
      <alignment horizontal="center" vertical="center"/>
    </xf>
    <xf numFmtId="0" fontId="28" fillId="23" borderId="210" applyAlignment="1" pivotButton="0" quotePrefix="0" xfId="0">
      <alignment horizontal="center" vertical="center"/>
    </xf>
    <xf numFmtId="0" fontId="28" fillId="24" borderId="210" applyAlignment="1" pivotButton="0" quotePrefix="0" xfId="0">
      <alignment horizontal="center" vertical="center"/>
    </xf>
    <xf numFmtId="0" fontId="28" fillId="25" borderId="210" applyAlignment="1" pivotButton="0" quotePrefix="0" xfId="0">
      <alignment horizontal="center" vertical="center"/>
    </xf>
    <xf numFmtId="0" fontId="37" fillId="26" borderId="210" applyAlignment="1" pivotButton="0" quotePrefix="0" xfId="0">
      <alignment horizontal="center" vertical="center"/>
    </xf>
    <xf numFmtId="0" fontId="30" fillId="27" borderId="213" applyAlignment="1" pivotButton="0" quotePrefix="0" xfId="0">
      <alignment horizontal="center" vertical="center"/>
    </xf>
    <xf numFmtId="0" fontId="27" fillId="3" borderId="34" applyAlignment="1" pivotButton="0" quotePrefix="0" xfId="0">
      <alignment horizontal="center" vertical="top" wrapText="1"/>
    </xf>
    <xf numFmtId="0" fontId="23" fillId="0" borderId="36" applyAlignment="1" pivotButton="0" quotePrefix="0" xfId="0">
      <alignment horizontal="center" vertical="top" wrapText="1"/>
    </xf>
    <xf numFmtId="0" fontId="23" fillId="0" borderId="37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/>
    </xf>
    <xf numFmtId="0" fontId="27" fillId="3" borderId="60" applyAlignment="1" pivotButton="0" quotePrefix="0" xfId="0">
      <alignment horizontal="center" vertical="top" wrapText="1"/>
    </xf>
    <xf numFmtId="164" fontId="28" fillId="4" borderId="61" applyAlignment="1" pivotButton="0" quotePrefix="0" xfId="0">
      <alignment horizontal="center" vertical="top" wrapText="1"/>
    </xf>
    <xf numFmtId="164" fontId="28" fillId="4" borderId="8" applyAlignment="1" pivotButton="0" quotePrefix="0" xfId="0">
      <alignment horizontal="center" vertical="top" wrapText="1"/>
    </xf>
    <xf numFmtId="164" fontId="28" fillId="4" borderId="62" applyAlignment="1" pivotButton="0" quotePrefix="0" xfId="0">
      <alignment horizontal="center" vertical="top" wrapText="1"/>
    </xf>
    <xf numFmtId="0" fontId="49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3" fillId="0" borderId="17" applyAlignment="1" pivotButton="0" quotePrefix="0" xfId="0">
      <alignment horizontal="center" vertical="center"/>
    </xf>
    <xf numFmtId="0" fontId="45" fillId="0" borderId="17" applyAlignment="1" pivotButton="0" quotePrefix="0" xfId="0">
      <alignment horizontal="left" vertical="center"/>
    </xf>
    <xf numFmtId="0" fontId="28" fillId="0" borderId="85" applyAlignment="1" pivotButton="0" quotePrefix="0" xfId="0">
      <alignment horizontal="center" vertical="center"/>
    </xf>
    <xf numFmtId="0" fontId="46" fillId="0" borderId="85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30" fillId="0" borderId="86" applyAlignment="1" pivotButton="0" quotePrefix="0" xfId="2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30" fillId="12" borderId="68" applyAlignment="1" pivotButton="0" quotePrefix="0" xfId="2">
      <alignment horizontal="center" vertical="center"/>
    </xf>
    <xf numFmtId="0" fontId="30" fillId="12" borderId="44" applyAlignment="1" pivotButton="0" quotePrefix="0" xfId="2">
      <alignment horizontal="center" vertical="center"/>
    </xf>
    <xf numFmtId="0" fontId="30" fillId="12" borderId="86" applyAlignment="1" pivotButton="0" quotePrefix="0" xfId="2">
      <alignment horizontal="center" vertical="center"/>
    </xf>
    <xf numFmtId="0" fontId="30" fillId="0" borderId="146" applyAlignment="1" pivotButton="0" quotePrefix="0" xfId="2">
      <alignment horizontal="center" vertical="center"/>
    </xf>
    <xf numFmtId="0" fontId="30" fillId="0" borderId="169" applyAlignment="1" pivotButton="0" quotePrefix="0" xfId="2">
      <alignment horizontal="center" vertical="center"/>
    </xf>
    <xf numFmtId="0" fontId="30" fillId="0" borderId="44" applyAlignment="1" pivotButton="0" quotePrefix="0" xfId="2">
      <alignment horizontal="center" vertical="center"/>
    </xf>
    <xf numFmtId="0" fontId="23" fillId="0" borderId="207" applyAlignment="1" pivotButton="0" quotePrefix="0" xfId="0">
      <alignment horizontal="center" vertical="center"/>
    </xf>
    <xf numFmtId="14" fontId="34" fillId="12" borderId="219" applyAlignment="1" pivotButton="0" quotePrefix="0" xfId="0">
      <alignment horizontal="left" vertical="center" wrapText="1"/>
    </xf>
    <xf numFmtId="14" fontId="34" fillId="12" borderId="220" applyAlignment="1" pivotButton="0" quotePrefix="0" xfId="0">
      <alignment horizontal="left" vertical="center" wrapText="1"/>
    </xf>
    <xf numFmtId="14" fontId="34" fillId="12" borderId="218" applyAlignment="1" pivotButton="0" quotePrefix="0" xfId="0">
      <alignment horizontal="left" vertical="center" wrapText="1"/>
    </xf>
    <xf numFmtId="0" fontId="28" fillId="12" borderId="221" applyAlignment="1" pivotButton="0" quotePrefix="0" xfId="0">
      <alignment horizontal="center" vertical="center"/>
    </xf>
    <xf numFmtId="0" fontId="30" fillId="12" borderId="17" applyAlignment="1" pivotButton="0" quotePrefix="0" xfId="2">
      <alignment vertical="center"/>
    </xf>
    <xf numFmtId="0" fontId="30" fillId="12" borderId="67" applyAlignment="1" pivotButton="0" quotePrefix="0" xfId="2">
      <alignment horizontal="center" vertical="center"/>
    </xf>
    <xf numFmtId="0" fontId="30" fillId="0" borderId="17" applyAlignment="1" pivotButton="0" quotePrefix="0" xfId="2">
      <alignment vertical="center"/>
    </xf>
    <xf numFmtId="0" fontId="31" fillId="0" borderId="67" applyAlignment="1" pivotButton="0" quotePrefix="0" xfId="1">
      <alignment horizontal="left" vertical="center"/>
    </xf>
    <xf numFmtId="0" fontId="27" fillId="12" borderId="67" applyAlignment="1" pivotButton="0" quotePrefix="0" xfId="0">
      <alignment horizontal="center" vertical="center"/>
    </xf>
    <xf numFmtId="0" fontId="30" fillId="12" borderId="67" applyAlignment="1" pivotButton="0" quotePrefix="0" xfId="0">
      <alignment vertical="center"/>
    </xf>
    <xf numFmtId="14" fontId="32" fillId="12" borderId="0" applyAlignment="1" pivotButton="0" quotePrefix="0" xfId="0">
      <alignment horizontal="left" vertical="center"/>
    </xf>
    <xf numFmtId="14" fontId="32" fillId="12" borderId="17" applyAlignment="1" pivotButton="0" quotePrefix="0" xfId="0">
      <alignment horizontal="left" vertical="center" wrapText="1"/>
    </xf>
    <xf numFmtId="0" fontId="27" fillId="12" borderId="17" applyAlignment="1" pivotButton="0" quotePrefix="0" xfId="0">
      <alignment horizontal="center" vertical="center"/>
    </xf>
    <xf numFmtId="0" fontId="30" fillId="12" borderId="67" applyAlignment="1" pivotButton="0" quotePrefix="0" xfId="0">
      <alignment horizontal="left" vertical="center"/>
    </xf>
    <xf numFmtId="0" fontId="27" fillId="12" borderId="222" applyAlignment="1" pivotButton="0" quotePrefix="0" xfId="0">
      <alignment horizontal="center" vertical="center"/>
    </xf>
    <xf numFmtId="0" fontId="30" fillId="12" borderId="85" applyAlignment="1" pivotButton="0" quotePrefix="0" xfId="2">
      <alignment vertical="center"/>
    </xf>
    <xf numFmtId="0" fontId="30" fillId="12" borderId="85" applyAlignment="1" pivotButton="0" quotePrefix="0" xfId="2">
      <alignment horizontal="center" vertical="center"/>
    </xf>
    <xf numFmtId="0" fontId="31" fillId="0" borderId="85" applyAlignment="1" pivotButton="0" quotePrefix="0" xfId="1">
      <alignment vertical="center"/>
    </xf>
    <xf numFmtId="0" fontId="28" fillId="12" borderId="85" applyAlignment="1" pivotButton="0" quotePrefix="0" xfId="0">
      <alignment vertical="center"/>
    </xf>
    <xf numFmtId="0" fontId="28" fillId="14" borderId="85" applyAlignment="1" pivotButton="0" quotePrefix="0" xfId="0">
      <alignment vertical="center"/>
    </xf>
    <xf numFmtId="14" fontId="34" fillId="12" borderId="85" applyAlignment="1" pivotButton="0" quotePrefix="0" xfId="0">
      <alignment horizontal="left" vertical="center"/>
    </xf>
    <xf numFmtId="14" fontId="34" fillId="12" borderId="85" applyAlignment="1" pivotButton="0" quotePrefix="0" xfId="0">
      <alignment horizontal="left" vertical="center" wrapText="1"/>
    </xf>
    <xf numFmtId="0" fontId="5" fillId="11" borderId="223" applyAlignment="1" pivotButton="0" quotePrefix="0" xfId="0">
      <alignment horizontal="center" vertical="center"/>
    </xf>
    <xf numFmtId="0" fontId="28" fillId="12" borderId="85" applyAlignment="1" pivotButton="0" quotePrefix="0" xfId="0">
      <alignment horizontal="center" vertical="center"/>
    </xf>
    <xf numFmtId="0" fontId="28" fillId="15" borderId="85" applyAlignment="1" pivotButton="0" quotePrefix="0" xfId="0">
      <alignment horizontal="center" vertical="center"/>
    </xf>
    <xf numFmtId="0" fontId="31" fillId="15" borderId="85" applyAlignment="1" pivotButton="0" quotePrefix="0" xfId="1">
      <alignment horizontal="right" vertical="center"/>
    </xf>
    <xf numFmtId="0" fontId="31" fillId="15" borderId="85" applyAlignment="1" pivotButton="0" quotePrefix="0" xfId="1">
      <alignment vertical="center"/>
    </xf>
    <xf numFmtId="0" fontId="28" fillId="15" borderId="85" applyAlignment="1" pivotButton="0" quotePrefix="0" xfId="0">
      <alignment vertical="center"/>
    </xf>
    <xf numFmtId="0" fontId="28" fillId="15" borderId="85" applyAlignment="1" pivotButton="0" quotePrefix="0" xfId="0">
      <alignment horizontal="left" vertical="center"/>
    </xf>
    <xf numFmtId="0" fontId="28" fillId="12" borderId="224" applyAlignment="1" pivotButton="0" quotePrefix="0" xfId="0">
      <alignment vertical="center"/>
    </xf>
    <xf numFmtId="0" fontId="5" fillId="20" borderId="0" applyAlignment="1" pivotButton="0" quotePrefix="0" xfId="0">
      <alignment horizontal="center" vertical="center"/>
    </xf>
    <xf numFmtId="0" fontId="35" fillId="20" borderId="210" applyAlignment="1" pivotButton="0" quotePrefix="0" xfId="0">
      <alignment vertical="center"/>
    </xf>
    <xf numFmtId="0" fontId="5" fillId="18" borderId="0" applyAlignment="1" pivotButton="0" quotePrefix="0" xfId="0">
      <alignment horizontal="center" vertical="center"/>
    </xf>
    <xf numFmtId="0" fontId="35" fillId="18" borderId="210" applyAlignment="1" pivotButton="0" quotePrefix="0" xfId="0">
      <alignment vertical="center"/>
    </xf>
    <xf numFmtId="0" fontId="5" fillId="9" borderId="0" applyAlignment="1" pivotButton="0" quotePrefix="0" xfId="0">
      <alignment horizontal="center" vertical="center"/>
    </xf>
    <xf numFmtId="0" fontId="35" fillId="9" borderId="210" applyAlignment="1" pivotButton="0" quotePrefix="0" xfId="0">
      <alignment vertical="center"/>
    </xf>
    <xf numFmtId="0" fontId="5" fillId="19" borderId="0" applyAlignment="1" pivotButton="0" quotePrefix="0" xfId="0">
      <alignment horizontal="center" vertical="center"/>
    </xf>
    <xf numFmtId="0" fontId="35" fillId="19" borderId="210" applyAlignment="1" pivotButton="0" quotePrefix="0" xfId="0">
      <alignment vertical="center"/>
    </xf>
    <xf numFmtId="0" fontId="5" fillId="21" borderId="0" applyAlignment="1" pivotButton="0" quotePrefix="0" xfId="0">
      <alignment horizontal="center" vertical="center"/>
    </xf>
    <xf numFmtId="0" fontId="35" fillId="21" borderId="210" applyAlignment="1" pivotButton="0" quotePrefix="0" xfId="0">
      <alignment vertical="center"/>
    </xf>
    <xf numFmtId="0" fontId="5" fillId="22" borderId="0" applyAlignment="1" pivotButton="0" quotePrefix="0" xfId="0">
      <alignment horizontal="center" vertical="center"/>
    </xf>
    <xf numFmtId="0" fontId="35" fillId="22" borderId="210" applyAlignment="1" pivotButton="0" quotePrefix="0" xfId="0">
      <alignment vertical="center"/>
    </xf>
    <xf numFmtId="0" fontId="5" fillId="26" borderId="0" applyAlignment="1" pivotButton="0" quotePrefix="0" xfId="0">
      <alignment horizontal="center" vertical="center"/>
    </xf>
    <xf numFmtId="0" fontId="35" fillId="26" borderId="210" applyAlignment="1" pivotButton="0" quotePrefix="0" xfId="0">
      <alignment vertical="center"/>
    </xf>
    <xf numFmtId="0" fontId="5" fillId="23" borderId="0" applyAlignment="1" pivotButton="0" quotePrefix="0" xfId="0">
      <alignment horizontal="center" vertical="center"/>
    </xf>
    <xf numFmtId="0" fontId="35" fillId="23" borderId="210" applyAlignment="1" pivotButton="0" quotePrefix="0" xfId="0">
      <alignment vertical="center"/>
    </xf>
    <xf numFmtId="0" fontId="5" fillId="24" borderId="0" applyAlignment="1" pivotButton="0" quotePrefix="0" xfId="0">
      <alignment horizontal="center" vertical="center"/>
    </xf>
    <xf numFmtId="0" fontId="35" fillId="24" borderId="210" applyAlignment="1" pivotButton="0" quotePrefix="0" xfId="0">
      <alignment vertical="center"/>
    </xf>
    <xf numFmtId="0" fontId="5" fillId="25" borderId="0" applyAlignment="1" pivotButton="0" quotePrefix="0" xfId="0">
      <alignment horizontal="center" vertical="center"/>
    </xf>
    <xf numFmtId="0" fontId="35" fillId="25" borderId="210" applyAlignment="1" pivotButton="0" quotePrefix="0" xfId="0">
      <alignment vertical="center"/>
    </xf>
    <xf numFmtId="0" fontId="38" fillId="27" borderId="213" applyAlignment="1" pivotButton="0" quotePrefix="0" xfId="0">
      <alignment vertical="center"/>
    </xf>
    <xf numFmtId="0" fontId="28" fillId="17" borderId="209" applyAlignment="1" pivotButton="0" quotePrefix="0" xfId="0">
      <alignment horizontal="right" vertical="center"/>
    </xf>
    <xf numFmtId="0" fontId="28" fillId="17" borderId="0" applyAlignment="1" pivotButton="0" quotePrefix="0" xfId="0">
      <alignment horizontal="center" vertical="center"/>
    </xf>
    <xf numFmtId="0" fontId="28" fillId="20" borderId="209" applyAlignment="1" pivotButton="0" quotePrefix="0" xfId="0">
      <alignment horizontal="right" vertical="center"/>
    </xf>
    <xf numFmtId="0" fontId="28" fillId="20" borderId="0" applyAlignment="1" pivotButton="0" quotePrefix="0" xfId="0">
      <alignment horizontal="center" vertical="center"/>
    </xf>
    <xf numFmtId="0" fontId="28" fillId="17" borderId="211" applyAlignment="1" pivotButton="0" quotePrefix="0" xfId="0">
      <alignment vertical="center"/>
    </xf>
    <xf numFmtId="0" fontId="28" fillId="20" borderId="211" applyAlignment="1" pivotButton="0" quotePrefix="0" xfId="0">
      <alignment vertical="center"/>
    </xf>
    <xf numFmtId="0" fontId="28" fillId="0" borderId="225" applyAlignment="1" pivotButton="0" quotePrefix="0" xfId="0">
      <alignment horizontal="left" vertical="center"/>
    </xf>
    <xf numFmtId="0" fontId="50" fillId="5" borderId="10" applyAlignment="1" pivotButton="0" quotePrefix="0" xfId="0">
      <alignment horizontal="center" vertical="center" wrapText="1"/>
    </xf>
    <xf numFmtId="0" fontId="50" fillId="5" borderId="4" applyAlignment="1" pivotButton="0" quotePrefix="0" xfId="0">
      <alignment horizontal="center" vertical="center" wrapText="1"/>
    </xf>
    <xf numFmtId="0" fontId="51" fillId="0" borderId="35" applyAlignment="1" pivotButton="0" quotePrefix="0" xfId="0">
      <alignment horizontal="center" vertical="top" wrapText="1"/>
    </xf>
    <xf numFmtId="0" fontId="51" fillId="0" borderId="36" applyAlignment="1" pivotButton="0" quotePrefix="0" xfId="0">
      <alignment horizontal="center" vertical="top" wrapText="1"/>
    </xf>
    <xf numFmtId="0" fontId="28" fillId="0" borderId="81" applyAlignment="1" pivotButton="0" quotePrefix="0" xfId="0">
      <alignment vertical="center"/>
    </xf>
    <xf numFmtId="0" fontId="5" fillId="0" borderId="63" applyAlignment="1" pivotButton="0" quotePrefix="0" xfId="0">
      <alignment horizontal="center" vertical="center"/>
    </xf>
    <xf numFmtId="0" fontId="28" fillId="0" borderId="86" applyAlignment="1" pivotButton="0" quotePrefix="0" xfId="0">
      <alignment vertical="center"/>
    </xf>
    <xf numFmtId="0" fontId="28" fillId="0" borderId="87" applyAlignment="1" pivotButton="0" quotePrefix="0" xfId="0">
      <alignment vertical="center"/>
    </xf>
    <xf numFmtId="0" fontId="28" fillId="0" borderId="97" applyAlignment="1" pivotButton="0" quotePrefix="0" xfId="0">
      <alignment vertical="center"/>
    </xf>
    <xf numFmtId="0" fontId="28" fillId="0" borderId="98" applyAlignment="1" pivotButton="0" quotePrefix="0" xfId="0">
      <alignment vertical="center"/>
    </xf>
    <xf numFmtId="0" fontId="28" fillId="0" borderId="100" applyAlignment="1" pivotButton="0" quotePrefix="0" xfId="0">
      <alignment vertical="center"/>
    </xf>
    <xf numFmtId="0" fontId="28" fillId="0" borderId="102" applyAlignment="1" pivotButton="0" quotePrefix="0" xfId="0">
      <alignment horizontal="right" vertical="center" wrapText="1"/>
    </xf>
    <xf numFmtId="0" fontId="28" fillId="0" borderId="103" applyAlignment="1" pivotButton="0" quotePrefix="0" xfId="0">
      <alignment horizontal="right" vertical="center" wrapText="1"/>
    </xf>
    <xf numFmtId="0" fontId="28" fillId="0" borderId="104" applyAlignment="1" pivotButton="0" quotePrefix="0" xfId="0">
      <alignment horizontal="right" vertical="center" wrapText="1"/>
    </xf>
    <xf numFmtId="0" fontId="28" fillId="0" borderId="105" applyAlignment="1" pivotButton="0" quotePrefix="0" xfId="0">
      <alignment horizontal="right" vertical="center" wrapText="1"/>
    </xf>
    <xf numFmtId="0" fontId="30" fillId="0" borderId="81" applyAlignment="1" pivotButton="0" quotePrefix="0" xfId="0">
      <alignment horizontal="center" vertical="center"/>
    </xf>
    <xf numFmtId="0" fontId="30" fillId="0" borderId="83" applyAlignment="1" pivotButton="0" quotePrefix="0" xfId="0">
      <alignment vertical="center"/>
    </xf>
    <xf numFmtId="0" fontId="30" fillId="0" borderId="81" applyAlignment="1" pivotButton="0" quotePrefix="0" xfId="0">
      <alignment vertical="center"/>
    </xf>
    <xf numFmtId="0" fontId="30" fillId="0" borderId="84" applyAlignment="1" pivotButton="0" quotePrefix="0" xfId="0">
      <alignment vertical="center"/>
    </xf>
    <xf numFmtId="0" fontId="30" fillId="0" borderId="85" applyAlignment="1" pivotButton="0" quotePrefix="0" xfId="0">
      <alignment vertical="center"/>
    </xf>
    <xf numFmtId="0" fontId="30" fillId="0" borderId="217" applyAlignment="1" pivotButton="0" quotePrefix="0" xfId="0">
      <alignment vertical="center"/>
    </xf>
    <xf numFmtId="14" fontId="32" fillId="0" borderId="83" applyAlignment="1" pivotButton="0" quotePrefix="0" xfId="0">
      <alignment horizontal="left" vertical="center"/>
    </xf>
    <xf numFmtId="14" fontId="32" fillId="0" borderId="218" applyAlignment="1" pivotButton="0" quotePrefix="0" xfId="0">
      <alignment horizontal="left" vertical="center" wrapText="1"/>
    </xf>
    <xf numFmtId="0" fontId="30" fillId="0" borderId="86" applyAlignment="1" pivotButton="0" quotePrefix="0" xfId="0">
      <alignment vertical="center"/>
    </xf>
    <xf numFmtId="0" fontId="30" fillId="0" borderId="87" applyAlignment="1" pivotButton="0" quotePrefix="0" xfId="0">
      <alignment vertical="center"/>
    </xf>
    <xf numFmtId="0" fontId="30" fillId="0" borderId="88" applyAlignment="1" pivotButton="0" quotePrefix="0" xfId="0">
      <alignment vertical="center"/>
    </xf>
    <xf numFmtId="164" fontId="30" fillId="0" borderId="89" applyAlignment="1" pivotButton="0" quotePrefix="0" xfId="0">
      <alignment horizontal="left" vertical="center"/>
    </xf>
    <xf numFmtId="164" fontId="30" fillId="0" borderId="90" applyAlignment="1" pivotButton="0" quotePrefix="0" xfId="0">
      <alignment horizontal="left" vertical="center"/>
    </xf>
    <xf numFmtId="164" fontId="30" fillId="0" borderId="91" applyAlignment="1" pivotButton="0" quotePrefix="0" xfId="0">
      <alignment horizontal="left" vertical="center"/>
    </xf>
    <xf numFmtId="164" fontId="30" fillId="0" borderId="94" applyAlignment="1" pivotButton="0" quotePrefix="0" xfId="0">
      <alignment horizontal="left" vertical="center"/>
    </xf>
    <xf numFmtId="164" fontId="30" fillId="0" borderId="92" applyAlignment="1" pivotButton="0" quotePrefix="0" xfId="0">
      <alignment horizontal="left" vertical="center"/>
    </xf>
    <xf numFmtId="164" fontId="30" fillId="0" borderId="95" applyAlignment="1" pivotButton="0" quotePrefix="0" xfId="0">
      <alignment horizontal="left" vertical="center"/>
    </xf>
    <xf numFmtId="0" fontId="30" fillId="0" borderId="81" applyAlignment="1" pivotButton="0" quotePrefix="0" xfId="0">
      <alignment horizontal="center" vertical="center"/>
    </xf>
    <xf numFmtId="0" fontId="30" fillId="0" borderId="83" applyAlignment="1" pivotButton="0" quotePrefix="0" xfId="0">
      <alignment vertical="center"/>
    </xf>
    <xf numFmtId="0" fontId="30" fillId="0" borderId="81" applyAlignment="1" pivotButton="0" quotePrefix="0" xfId="0">
      <alignment vertical="center"/>
    </xf>
    <xf numFmtId="0" fontId="30" fillId="0" borderId="81" applyAlignment="1" pivotButton="0" quotePrefix="0" xfId="0">
      <alignment horizontal="left" vertical="center"/>
    </xf>
    <xf numFmtId="0" fontId="30" fillId="0" borderId="84" applyAlignment="1" pivotButton="0" quotePrefix="0" xfId="0">
      <alignment horizontal="left" vertical="center"/>
    </xf>
    <xf numFmtId="0" fontId="30" fillId="0" borderId="85" applyAlignment="1" pivotButton="0" quotePrefix="0" xfId="0">
      <alignment horizontal="left" vertical="center"/>
    </xf>
    <xf numFmtId="0" fontId="30" fillId="0" borderId="217" applyAlignment="1" pivotButton="0" quotePrefix="0" xfId="0">
      <alignment vertical="center"/>
    </xf>
    <xf numFmtId="0" fontId="30" fillId="0" borderId="82" applyAlignment="1" pivotButton="0" quotePrefix="0" xfId="0">
      <alignment vertical="center"/>
    </xf>
    <xf numFmtId="14" fontId="32" fillId="0" borderId="83" applyAlignment="1" pivotButton="0" quotePrefix="0" xfId="0">
      <alignment horizontal="left" vertical="center"/>
    </xf>
    <xf numFmtId="0" fontId="30" fillId="0" borderId="86" applyAlignment="1" pivotButton="0" quotePrefix="0" xfId="0">
      <alignment vertical="center"/>
    </xf>
    <xf numFmtId="0" fontId="30" fillId="0" borderId="87" applyAlignment="1" pivotButton="0" quotePrefix="0" xfId="0">
      <alignment vertical="center"/>
    </xf>
    <xf numFmtId="0" fontId="30" fillId="0" borderId="108" applyAlignment="1" pivotButton="0" quotePrefix="0" xfId="0">
      <alignment vertical="center"/>
    </xf>
    <xf numFmtId="164" fontId="30" fillId="0" borderId="109" applyAlignment="1" pivotButton="0" quotePrefix="0" xfId="0">
      <alignment horizontal="left" vertical="center"/>
    </xf>
    <xf numFmtId="164" fontId="30" fillId="0" borderId="110" applyAlignment="1" pivotButton="0" quotePrefix="0" xfId="0">
      <alignment horizontal="left" vertical="center"/>
    </xf>
    <xf numFmtId="164" fontId="30" fillId="0" borderId="111" applyAlignment="1" pivotButton="0" quotePrefix="0" xfId="0">
      <alignment horizontal="left" vertical="center"/>
    </xf>
    <xf numFmtId="164" fontId="30" fillId="0" borderId="112" applyAlignment="1" pivotButton="0" quotePrefix="0" xfId="0">
      <alignment horizontal="left" vertical="center"/>
    </xf>
    <xf numFmtId="164" fontId="30" fillId="0" borderId="113" applyAlignment="1" pivotButton="0" quotePrefix="0" xfId="0">
      <alignment horizontal="left" vertical="center"/>
    </xf>
    <xf numFmtId="0" fontId="30" fillId="0" borderId="84" applyAlignment="1" pivotButton="0" quotePrefix="0" xfId="0">
      <alignment vertical="center"/>
    </xf>
    <xf numFmtId="0" fontId="30" fillId="0" borderId="115" applyAlignment="1" pivotButton="0" quotePrefix="0" xfId="0">
      <alignment vertical="center"/>
    </xf>
    <xf numFmtId="164" fontId="30" fillId="0" borderId="116" applyAlignment="1" pivotButton="0" quotePrefix="0" xfId="0">
      <alignment horizontal="left" vertical="center"/>
    </xf>
    <xf numFmtId="164" fontId="30" fillId="0" borderId="117" applyAlignment="1" pivotButton="0" quotePrefix="0" xfId="0">
      <alignment horizontal="left" vertical="center"/>
    </xf>
    <xf numFmtId="164" fontId="30" fillId="0" borderId="118" applyAlignment="1" pivotButton="0" quotePrefix="0" xfId="0">
      <alignment horizontal="left" vertical="center"/>
    </xf>
    <xf numFmtId="164" fontId="30" fillId="0" borderId="119" applyAlignment="1" pivotButton="0" quotePrefix="0" xfId="0">
      <alignment horizontal="left" vertical="center"/>
    </xf>
    <xf numFmtId="164" fontId="30" fillId="0" borderId="120" applyAlignment="1" pivotButton="0" quotePrefix="0" xfId="0">
      <alignment horizontal="left" vertical="center"/>
    </xf>
    <xf numFmtId="0" fontId="30" fillId="0" borderId="122" applyAlignment="1" pivotButton="0" quotePrefix="0" xfId="0">
      <alignment vertical="center"/>
    </xf>
    <xf numFmtId="164" fontId="30" fillId="0" borderId="123" applyAlignment="1" pivotButton="0" quotePrefix="0" xfId="0">
      <alignment horizontal="left" vertical="center"/>
    </xf>
    <xf numFmtId="164" fontId="30" fillId="0" borderId="124" applyAlignment="1" pivotButton="0" quotePrefix="0" xfId="0">
      <alignment horizontal="left" vertical="center"/>
    </xf>
    <xf numFmtId="164" fontId="30" fillId="0" borderId="125" applyAlignment="1" pivotButton="0" quotePrefix="0" xfId="0">
      <alignment horizontal="left" vertical="center"/>
    </xf>
    <xf numFmtId="164" fontId="30" fillId="0" borderId="126" applyAlignment="1" pivotButton="0" quotePrefix="0" xfId="0">
      <alignment horizontal="left" vertical="center"/>
    </xf>
    <xf numFmtId="164" fontId="30" fillId="0" borderId="127" applyAlignment="1" pivotButton="0" quotePrefix="0" xfId="0">
      <alignment horizontal="left" vertical="center"/>
    </xf>
    <xf numFmtId="0" fontId="30" fillId="0" borderId="225" applyAlignment="1" pivotButton="0" quotePrefix="0" xfId="0">
      <alignment horizontal="left" vertical="center"/>
    </xf>
    <xf numFmtId="0" fontId="30" fillId="0" borderId="182" applyAlignment="1" pivotButton="0" quotePrefix="0" xfId="0">
      <alignment vertical="center"/>
    </xf>
    <xf numFmtId="0" fontId="30" fillId="0" borderId="99" applyAlignment="1" pivotButton="0" quotePrefix="0" xfId="0">
      <alignment vertical="center"/>
    </xf>
    <xf numFmtId="0" fontId="28" fillId="18" borderId="8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14" fontId="1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23" fillId="2" borderId="32" applyAlignment="1" pivotButton="0" quotePrefix="0" xfId="0">
      <alignment horizontal="left" vertical="top" wrapText="1"/>
    </xf>
    <xf numFmtId="0" fontId="23" fillId="2" borderId="58" applyAlignment="1" pivotButton="0" quotePrefix="0" xfId="0">
      <alignment horizontal="left" vertical="top" wrapText="1"/>
    </xf>
    <xf numFmtId="0" fontId="25" fillId="2" borderId="32" applyAlignment="1" pivotButton="0" quotePrefix="0" xfId="0">
      <alignment horizontal="center" vertical="top" wrapText="1"/>
    </xf>
    <xf numFmtId="0" fontId="25" fillId="2" borderId="58" applyAlignment="1" pivotButton="0" quotePrefix="0" xfId="0">
      <alignment horizontal="center" vertical="top" wrapText="1"/>
    </xf>
    <xf numFmtId="0" fontId="23" fillId="4" borderId="33" applyAlignment="1" pivotButton="0" quotePrefix="0" xfId="0">
      <alignment horizontal="center" vertical="top" wrapText="1"/>
    </xf>
    <xf numFmtId="0" fontId="23" fillId="4" borderId="59" applyAlignment="1" pivotButton="0" quotePrefix="0" xfId="0">
      <alignment horizontal="center" vertical="top" wrapText="1"/>
    </xf>
    <xf numFmtId="0" fontId="23" fillId="7" borderId="27" applyAlignment="1" pivotButton="0" quotePrefix="0" xfId="0">
      <alignment horizontal="left" vertical="top"/>
    </xf>
    <xf numFmtId="0" fontId="23" fillId="7" borderId="53" applyAlignment="1" pivotButton="0" quotePrefix="0" xfId="0">
      <alignment horizontal="left" vertical="top"/>
    </xf>
    <xf numFmtId="0" fontId="25" fillId="7" borderId="22" applyAlignment="1" pivotButton="0" quotePrefix="0" xfId="0">
      <alignment horizontal="left" vertical="top" wrapText="1"/>
    </xf>
    <xf numFmtId="0" fontId="25" fillId="7" borderId="48" applyAlignment="1" pivotButton="0" quotePrefix="0" xfId="0">
      <alignment horizontal="left" vertical="top" wrapText="1"/>
    </xf>
    <xf numFmtId="0" fontId="26" fillId="7" borderId="22" applyAlignment="1" pivotButton="0" quotePrefix="0" xfId="0">
      <alignment horizontal="left" vertical="top" wrapText="1"/>
    </xf>
    <xf numFmtId="0" fontId="26" fillId="7" borderId="48" applyAlignment="1" pivotButton="0" quotePrefix="0" xfId="0">
      <alignment horizontal="left" vertical="top" wrapText="1"/>
    </xf>
    <xf numFmtId="0" fontId="26" fillId="7" borderId="23" applyAlignment="1" pivotButton="0" quotePrefix="0" xfId="0">
      <alignment horizontal="left" vertical="top" wrapText="1"/>
    </xf>
    <xf numFmtId="0" fontId="26" fillId="7" borderId="49" applyAlignment="1" pivotButton="0" quotePrefix="0" xfId="0">
      <alignment horizontal="left" vertical="top" wrapText="1"/>
    </xf>
    <xf numFmtId="0" fontId="23" fillId="6" borderId="26" applyAlignment="1" pivotButton="0" quotePrefix="0" xfId="0">
      <alignment horizontal="left" vertical="top" wrapText="1"/>
    </xf>
    <xf numFmtId="0" fontId="23" fillId="6" borderId="52" applyAlignment="1" pivotButton="0" quotePrefix="0" xfId="0">
      <alignment horizontal="left" vertical="top" wrapText="1"/>
    </xf>
    <xf numFmtId="0" fontId="25" fillId="6" borderId="22" applyAlignment="1" pivotButton="0" quotePrefix="0" xfId="0">
      <alignment horizontal="left" vertical="top" wrapText="1"/>
    </xf>
    <xf numFmtId="0" fontId="25" fillId="6" borderId="48" applyAlignment="1" pivotButton="0" quotePrefix="0" xfId="0">
      <alignment horizontal="left" vertical="top" wrapText="1"/>
    </xf>
    <xf numFmtId="0" fontId="26" fillId="6" borderId="22" applyAlignment="1" pivotButton="0" quotePrefix="0" xfId="0">
      <alignment horizontal="left" vertical="top" wrapText="1"/>
    </xf>
    <xf numFmtId="0" fontId="26" fillId="6" borderId="48" applyAlignment="1" pivotButton="0" quotePrefix="0" xfId="0">
      <alignment horizontal="left" vertical="top" wrapText="1"/>
    </xf>
    <xf numFmtId="0" fontId="26" fillId="6" borderId="23" applyAlignment="1" pivotButton="0" quotePrefix="0" xfId="0">
      <alignment horizontal="left" vertical="top" wrapText="1"/>
    </xf>
    <xf numFmtId="0" fontId="26" fillId="6" borderId="49" applyAlignment="1" pivotButton="0" quotePrefix="0" xfId="0">
      <alignment horizontal="left" vertical="top" wrapText="1"/>
    </xf>
    <xf numFmtId="0" fontId="23" fillId="7" borderId="24" applyAlignment="1" pivotButton="0" quotePrefix="0" xfId="0">
      <alignment horizontal="left" vertical="top" wrapText="1"/>
    </xf>
    <xf numFmtId="0" fontId="23" fillId="7" borderId="50" applyAlignment="1" pivotButton="0" quotePrefix="0" xfId="0">
      <alignment horizontal="left" vertical="top" wrapText="1"/>
    </xf>
    <xf numFmtId="0" fontId="23" fillId="10" borderId="18" applyAlignment="1" pivotButton="0" quotePrefix="0" xfId="0">
      <alignment horizontal="center" vertical="top" wrapText="1"/>
    </xf>
    <xf numFmtId="0" fontId="23" fillId="10" borderId="44" applyAlignment="1" pivotButton="0" quotePrefix="0" xfId="0">
      <alignment horizontal="center" vertical="top"/>
    </xf>
    <xf numFmtId="0" fontId="23" fillId="7" borderId="13" applyAlignment="1" pivotButton="0" quotePrefix="0" xfId="0">
      <alignment horizontal="center" vertical="top" wrapText="1"/>
    </xf>
    <xf numFmtId="0" fontId="23" fillId="7" borderId="39" applyAlignment="1" pivotButton="0" quotePrefix="0" xfId="0">
      <alignment horizontal="center" vertical="top"/>
    </xf>
    <xf numFmtId="0" fontId="25" fillId="2" borderId="32" applyAlignment="1" pivotButton="0" quotePrefix="0" xfId="0">
      <alignment horizontal="left" vertical="top" wrapText="1"/>
    </xf>
    <xf numFmtId="0" fontId="25" fillId="2" borderId="58" applyAlignment="1" pivotButton="0" quotePrefix="0" xfId="0">
      <alignment horizontal="left" vertical="top" wrapText="1"/>
    </xf>
    <xf numFmtId="0" fontId="23" fillId="7" borderId="28" applyAlignment="1" pivotButton="0" quotePrefix="0" xfId="0">
      <alignment horizontal="left" vertical="top" wrapText="1"/>
    </xf>
    <xf numFmtId="0" fontId="23" fillId="7" borderId="54" applyAlignment="1" pivotButton="0" quotePrefix="0" xfId="0">
      <alignment horizontal="left" vertical="top" wrapText="1"/>
    </xf>
    <xf numFmtId="0" fontId="23" fillId="6" borderId="29" applyAlignment="1" pivotButton="0" quotePrefix="0" xfId="0">
      <alignment vertical="top" wrapText="1"/>
    </xf>
    <xf numFmtId="0" fontId="23" fillId="6" borderId="55" applyAlignment="1" pivotButton="0" quotePrefix="0" xfId="0">
      <alignment vertical="top" wrapText="1"/>
    </xf>
    <xf numFmtId="0" fontId="25" fillId="8" borderId="13" applyAlignment="1" pivotButton="0" quotePrefix="0" xfId="0">
      <alignment vertical="top" wrapText="1"/>
    </xf>
    <xf numFmtId="0" fontId="25" fillId="8" borderId="39" applyAlignment="1" pivotButton="0" quotePrefix="0" xfId="0">
      <alignment vertical="top" wrapText="1"/>
    </xf>
    <xf numFmtId="0" fontId="23" fillId="6" borderId="13" applyAlignment="1" pivotButton="0" quotePrefix="0" xfId="0">
      <alignment vertical="top" wrapText="1"/>
    </xf>
    <xf numFmtId="0" fontId="23" fillId="6" borderId="39" applyAlignment="1" pivotButton="0" quotePrefix="0" xfId="0">
      <alignment vertical="top" wrapText="1"/>
    </xf>
    <xf numFmtId="0" fontId="23" fillId="6" borderId="19" applyAlignment="1" pivotButton="0" quotePrefix="0" xfId="0">
      <alignment vertical="top" wrapText="1"/>
    </xf>
    <xf numFmtId="0" fontId="23" fillId="6" borderId="45" applyAlignment="1" pivotButton="0" quotePrefix="0" xfId="0">
      <alignment vertical="top" wrapText="1"/>
    </xf>
    <xf numFmtId="0" fontId="24" fillId="4" borderId="30" applyAlignment="1" pivotButton="0" quotePrefix="0" xfId="0">
      <alignment horizontal="left" vertical="top" wrapText="1"/>
    </xf>
    <xf numFmtId="0" fontId="24" fillId="4" borderId="56" applyAlignment="1" pivotButton="0" quotePrefix="0" xfId="0">
      <alignment horizontal="left" vertical="top" wrapText="1"/>
    </xf>
    <xf numFmtId="0" fontId="23" fillId="2" borderId="31" applyAlignment="1" pivotButton="0" quotePrefix="0" xfId="0">
      <alignment horizontal="left" vertical="top" wrapText="1"/>
    </xf>
    <xf numFmtId="0" fontId="23" fillId="2" borderId="57" applyAlignment="1" pivotButton="0" quotePrefix="0" xfId="0">
      <alignment horizontal="left" vertical="top" wrapText="1"/>
    </xf>
    <xf numFmtId="0" fontId="23" fillId="7" borderId="27" applyAlignment="1" pivotButton="0" quotePrefix="0" xfId="0">
      <alignment horizontal="left" vertical="top" wrapText="1"/>
    </xf>
    <xf numFmtId="0" fontId="23" fillId="7" borderId="53" applyAlignment="1" pivotButton="0" quotePrefix="0" xfId="0">
      <alignment horizontal="left" vertical="top" wrapText="1"/>
    </xf>
    <xf numFmtId="0" fontId="23" fillId="7" borderId="26" applyAlignment="1" pivotButton="0" quotePrefix="0" xfId="0">
      <alignment horizontal="left" vertical="top" wrapText="1"/>
    </xf>
    <xf numFmtId="0" fontId="23" fillId="7" borderId="52" applyAlignment="1" pivotButton="0" quotePrefix="0" xfId="0">
      <alignment horizontal="left" vertical="top" wrapText="1"/>
    </xf>
    <xf numFmtId="0" fontId="23" fillId="6" borderId="20" applyAlignment="1" pivotButton="0" quotePrefix="0" xfId="0">
      <alignment horizontal="left" vertical="top" wrapText="1"/>
    </xf>
    <xf numFmtId="0" fontId="23" fillId="6" borderId="46" applyAlignment="1" pivotButton="0" quotePrefix="0" xfId="0">
      <alignment horizontal="left" vertical="top" wrapText="1"/>
    </xf>
    <xf numFmtId="0" fontId="23" fillId="7" borderId="21" applyAlignment="1" pivotButton="0" quotePrefix="0" xfId="0">
      <alignment horizontal="left" vertical="top" wrapText="1"/>
    </xf>
    <xf numFmtId="0" fontId="23" fillId="7" borderId="47" applyAlignment="1" pivotButton="0" quotePrefix="0" xfId="0">
      <alignment horizontal="left" vertical="top" wrapText="1"/>
    </xf>
    <xf numFmtId="0" fontId="23" fillId="6" borderId="226" applyAlignment="1" pivotButton="0" quotePrefix="0" xfId="0">
      <alignment horizontal="left" vertical="top" wrapText="1"/>
    </xf>
    <xf numFmtId="0" fontId="23" fillId="6" borderId="227" applyAlignment="1" pivotButton="0" quotePrefix="0" xfId="0">
      <alignment horizontal="left" vertical="top" wrapText="1"/>
    </xf>
    <xf numFmtId="0" fontId="26" fillId="6" borderId="25" applyAlignment="1" pivotButton="0" quotePrefix="0" xfId="0">
      <alignment horizontal="left" vertical="top" wrapText="1"/>
    </xf>
    <xf numFmtId="0" fontId="26" fillId="6" borderId="51" applyAlignment="1" pivotButton="0" quotePrefix="0" xfId="0">
      <alignment horizontal="left" vertical="top" wrapText="1"/>
    </xf>
    <xf numFmtId="0" fontId="23" fillId="9" borderId="19" applyAlignment="1" pivotButton="0" quotePrefix="0" xfId="0">
      <alignment horizontal="center" vertical="top" wrapText="1"/>
    </xf>
    <xf numFmtId="0" fontId="23" fillId="9" borderId="45" applyAlignment="1" pivotButton="0" quotePrefix="0" xfId="0">
      <alignment horizontal="center" vertical="top" wrapText="1"/>
    </xf>
    <xf numFmtId="0" fontId="23" fillId="7" borderId="39" applyAlignment="1" pivotButton="0" quotePrefix="0" xfId="0">
      <alignment horizontal="center" vertical="top" wrapText="1"/>
    </xf>
    <xf numFmtId="0" fontId="23" fillId="7" borderId="16" applyAlignment="1" pivotButton="0" quotePrefix="0" xfId="0">
      <alignment horizontal="center" vertical="top" wrapText="1"/>
    </xf>
    <xf numFmtId="0" fontId="23" fillId="7" borderId="42" applyAlignment="1" pivotButton="0" quotePrefix="0" xfId="0">
      <alignment horizontal="center" vertical="top" wrapText="1"/>
    </xf>
    <xf numFmtId="0" fontId="23" fillId="7" borderId="17" applyAlignment="1" pivotButton="0" quotePrefix="0" xfId="0">
      <alignment horizontal="center" vertical="top" wrapText="1"/>
    </xf>
    <xf numFmtId="0" fontId="23" fillId="7" borderId="43" applyAlignment="1" pivotButton="0" quotePrefix="0" xfId="0">
      <alignment horizontal="center" vertical="top" wrapText="1"/>
    </xf>
    <xf numFmtId="0" fontId="23" fillId="6" borderId="15" applyAlignment="1" pivotButton="0" quotePrefix="0" xfId="0">
      <alignment vertical="top" wrapText="1"/>
    </xf>
    <xf numFmtId="0" fontId="23" fillId="6" borderId="41" applyAlignment="1" pivotButton="0" quotePrefix="0" xfId="0">
      <alignment vertical="top" wrapText="1"/>
    </xf>
    <xf numFmtId="0" fontId="23" fillId="6" borderId="16" applyAlignment="1" pivotButton="0" quotePrefix="0" xfId="0">
      <alignment vertical="top" wrapText="1"/>
    </xf>
    <xf numFmtId="0" fontId="23" fillId="6" borderId="42" applyAlignment="1" pivotButton="0" quotePrefix="0" xfId="0">
      <alignment vertical="top" wrapText="1"/>
    </xf>
    <xf numFmtId="14" fontId="23" fillId="7" borderId="15" applyAlignment="1" pivotButton="0" quotePrefix="0" xfId="0">
      <alignment horizontal="center" vertical="top" wrapText="1"/>
    </xf>
    <xf numFmtId="14" fontId="23" fillId="7" borderId="41" applyAlignment="1" pivotButton="0" quotePrefix="0" xfId="0">
      <alignment horizontal="center" vertical="top" wrapText="1"/>
    </xf>
    <xf numFmtId="14" fontId="23" fillId="7" borderId="16" applyAlignment="1" pivotButton="0" quotePrefix="0" xfId="0">
      <alignment horizontal="center" vertical="top" wrapText="1"/>
    </xf>
    <xf numFmtId="14" fontId="23" fillId="7" borderId="42" applyAlignment="1" pivotButton="0" quotePrefix="0" xfId="0">
      <alignment horizontal="center" vertical="top" wrapText="1"/>
    </xf>
    <xf numFmtId="0" fontId="23" fillId="6" borderId="18" applyAlignment="1" pivotButton="0" quotePrefix="0" xfId="0">
      <alignment horizontal="center" vertical="top"/>
    </xf>
    <xf numFmtId="0" fontId="23" fillId="6" borderId="44" applyAlignment="1" pivotButton="0" quotePrefix="0" xfId="0">
      <alignment horizontal="center" vertical="top"/>
    </xf>
    <xf numFmtId="0" fontId="23" fillId="6" borderId="12" applyAlignment="1" pivotButton="0" quotePrefix="0" xfId="0">
      <alignment horizontal="center" vertical="top" wrapText="1"/>
    </xf>
    <xf numFmtId="0" fontId="23" fillId="6" borderId="38" applyAlignment="1" pivotButton="0" quotePrefix="0" xfId="0">
      <alignment horizontal="center" vertical="top"/>
    </xf>
    <xf numFmtId="0" fontId="24" fillId="6" borderId="13" applyAlignment="1" pivotButton="0" quotePrefix="0" xfId="0">
      <alignment horizontal="center" vertical="top" wrapText="1"/>
    </xf>
    <xf numFmtId="0" fontId="24" fillId="6" borderId="39" applyAlignment="1" pivotButton="0" quotePrefix="0" xfId="0">
      <alignment horizontal="center" vertical="top"/>
    </xf>
    <xf numFmtId="0" fontId="23" fillId="6" borderId="14" applyAlignment="1" pivotButton="0" quotePrefix="0" xfId="0">
      <alignment horizontal="center" vertical="top"/>
    </xf>
    <xf numFmtId="0" fontId="23" fillId="6" borderId="40" applyAlignment="1" pivotButton="0" quotePrefix="0" xfId="0">
      <alignment horizontal="center" vertical="top"/>
    </xf>
    <xf numFmtId="0" fontId="23" fillId="7" borderId="15" applyAlignment="1" pivotButton="0" quotePrefix="0" xfId="0">
      <alignment horizontal="center" vertical="top" wrapText="1"/>
    </xf>
    <xf numFmtId="0" fontId="23" fillId="7" borderId="41" applyAlignment="1" pivotButton="0" quotePrefix="0" xfId="0">
      <alignment horizontal="center" vertical="top"/>
    </xf>
    <xf numFmtId="0" fontId="24" fillId="6" borderId="14" applyAlignment="1" pivotButton="0" quotePrefix="0" xfId="0">
      <alignment horizontal="center" vertical="top" wrapText="1"/>
    </xf>
    <xf numFmtId="0" fontId="24" fillId="6" borderId="40" applyAlignment="1" pivotButton="0" quotePrefix="0" xfId="0">
      <alignment horizontal="center" vertical="top"/>
    </xf>
    <xf numFmtId="0" fontId="0" fillId="0" borderId="1" pivotButton="0" quotePrefix="0" xfId="0"/>
    <xf numFmtId="0" fontId="0" fillId="0" borderId="5" pivotButton="0" quotePrefix="0" xfId="0"/>
    <xf numFmtId="0" fontId="25" fillId="7" borderId="244" applyAlignment="1" pivotButton="0" quotePrefix="0" xfId="0">
      <alignment horizontal="left" vertical="top" wrapText="1"/>
    </xf>
    <xf numFmtId="0" fontId="26" fillId="7" borderId="244" applyAlignment="1" pivotButton="0" quotePrefix="0" xfId="0">
      <alignment horizontal="left" vertical="top" wrapText="1"/>
    </xf>
    <xf numFmtId="0" fontId="26" fillId="7" borderId="245" applyAlignment="1" pivotButton="0" quotePrefix="0" xfId="0">
      <alignment horizontal="left" vertical="top" wrapText="1"/>
    </xf>
    <xf numFmtId="0" fontId="23" fillId="6" borderId="247" applyAlignment="1" pivotButton="0" quotePrefix="0" xfId="0">
      <alignment horizontal="left" vertical="top" wrapText="1"/>
    </xf>
    <xf numFmtId="0" fontId="25" fillId="6" borderId="244" applyAlignment="1" pivotButton="0" quotePrefix="0" xfId="0">
      <alignment horizontal="left" vertical="top" wrapText="1"/>
    </xf>
    <xf numFmtId="0" fontId="26" fillId="6" borderId="244" applyAlignment="1" pivotButton="0" quotePrefix="0" xfId="0">
      <alignment horizontal="left" vertical="top" wrapText="1"/>
    </xf>
    <xf numFmtId="0" fontId="26" fillId="6" borderId="248" applyAlignment="1" pivotButton="0" quotePrefix="0" xfId="0">
      <alignment horizontal="left" vertical="top" wrapText="1"/>
    </xf>
    <xf numFmtId="0" fontId="26" fillId="6" borderId="245" applyAlignment="1" pivotButton="0" quotePrefix="0" xfId="0">
      <alignment horizontal="left" vertical="top" wrapText="1"/>
    </xf>
    <xf numFmtId="0" fontId="0" fillId="0" borderId="232" pivotButton="0" quotePrefix="0" xfId="0"/>
    <xf numFmtId="0" fontId="0" fillId="0" borderId="64" pivotButton="0" quotePrefix="0" xfId="0"/>
    <xf numFmtId="0" fontId="0" fillId="0" borderId="221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140" pivotButton="0" quotePrefix="0" xfId="0"/>
    <xf numFmtId="0" fontId="0" fillId="0" borderId="7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227" pivotButton="0" quotePrefix="0" xfId="0"/>
    <xf numFmtId="0" fontId="0" fillId="0" borderId="51" pivotButton="0" quotePrefix="0" xfId="0"/>
    <xf numFmtId="0" fontId="0" fillId="0" borderId="74" pivotButton="0" quotePrefix="0" xfId="0"/>
    <xf numFmtId="0" fontId="0" fillId="0" borderId="71" pivotButton="0" quotePrefix="0" xfId="0"/>
    <xf numFmtId="0" fontId="0" fillId="0" borderId="73" pivotButton="0" quotePrefix="0" xfId="0"/>
    <xf numFmtId="0" fontId="0" fillId="0" borderId="76" pivotButton="0" quotePrefix="0" xfId="0"/>
    <xf numFmtId="164" fontId="30" fillId="12" borderId="70" applyAlignment="1" pivotButton="0" quotePrefix="0" xfId="0">
      <alignment horizontal="left" vertical="center"/>
    </xf>
    <xf numFmtId="164" fontId="30" fillId="12" borderId="71" applyAlignment="1" pivotButton="0" quotePrefix="0" xfId="0">
      <alignment horizontal="left" vertical="center"/>
    </xf>
    <xf numFmtId="164" fontId="30" fillId="12" borderId="72" applyAlignment="1" pivotButton="0" quotePrefix="0" xfId="0">
      <alignment horizontal="left" vertical="center"/>
    </xf>
    <xf numFmtId="164" fontId="30" fillId="12" borderId="26" applyAlignment="1" pivotButton="0" quotePrefix="0" xfId="0">
      <alignment horizontal="left" vertical="center"/>
    </xf>
    <xf numFmtId="164" fontId="30" fillId="12" borderId="27" applyAlignment="1" pivotButton="0" quotePrefix="0" xfId="0">
      <alignment horizontal="left" vertical="center"/>
    </xf>
    <xf numFmtId="164" fontId="30" fillId="12" borderId="214" applyAlignment="1" pivotButton="0" quotePrefix="0" xfId="0">
      <alignment horizontal="left" vertical="center"/>
    </xf>
    <xf numFmtId="164" fontId="30" fillId="12" borderId="74" applyAlignment="1" pivotButton="0" quotePrefix="0" xfId="0">
      <alignment horizontal="left" vertical="center"/>
    </xf>
    <xf numFmtId="164" fontId="30" fillId="12" borderId="73" applyAlignment="1" pivotButton="0" quotePrefix="0" xfId="0">
      <alignment horizontal="left" vertical="center"/>
    </xf>
    <xf numFmtId="164" fontId="30" fillId="12" borderId="75" applyAlignment="1" pivotButton="0" quotePrefix="0" xfId="0">
      <alignment horizontal="left" vertical="center"/>
    </xf>
    <xf numFmtId="164" fontId="30" fillId="0" borderId="89" applyAlignment="1" pivotButton="0" quotePrefix="0" xfId="0">
      <alignment horizontal="left" vertical="center"/>
    </xf>
    <xf numFmtId="164" fontId="30" fillId="0" borderId="90" applyAlignment="1" pivotButton="0" quotePrefix="0" xfId="0">
      <alignment horizontal="left" vertical="center"/>
    </xf>
    <xf numFmtId="164" fontId="30" fillId="0" borderId="91" applyAlignment="1" pivotButton="0" quotePrefix="0" xfId="0">
      <alignment horizontal="left" vertical="center"/>
    </xf>
    <xf numFmtId="164" fontId="30" fillId="0" borderId="94" applyAlignment="1" pivotButton="0" quotePrefix="0" xfId="0">
      <alignment horizontal="left" vertical="center"/>
    </xf>
    <xf numFmtId="164" fontId="30" fillId="0" borderId="92" applyAlignment="1" pivotButton="0" quotePrefix="0" xfId="0">
      <alignment horizontal="left" vertical="center"/>
    </xf>
    <xf numFmtId="164" fontId="30" fillId="0" borderId="95" applyAlignment="1" pivotButton="0" quotePrefix="0" xfId="0">
      <alignment horizontal="left" vertical="center"/>
    </xf>
    <xf numFmtId="164" fontId="28" fillId="0" borderId="92" applyAlignment="1" pivotButton="0" quotePrefix="0" xfId="0">
      <alignment horizontal="left" vertical="center"/>
    </xf>
    <xf numFmtId="164" fontId="28" fillId="0" borderId="95" applyAlignment="1" pivotButton="0" quotePrefix="0" xfId="0">
      <alignment horizontal="left" vertical="center"/>
    </xf>
    <xf numFmtId="165" fontId="28" fillId="11" borderId="90" applyAlignment="1" pivotButton="0" quotePrefix="0" xfId="0">
      <alignment horizontal="center" vertical="center"/>
    </xf>
    <xf numFmtId="165" fontId="28" fillId="11" borderId="92" applyAlignment="1" pivotButton="0" quotePrefix="0" xfId="0">
      <alignment horizontal="center" vertical="center"/>
    </xf>
    <xf numFmtId="164" fontId="30" fillId="0" borderId="109" applyAlignment="1" pivotButton="0" quotePrefix="0" xfId="0">
      <alignment horizontal="left" vertical="center"/>
    </xf>
    <xf numFmtId="164" fontId="30" fillId="0" borderId="110" applyAlignment="1" pivotButton="0" quotePrefix="0" xfId="0">
      <alignment horizontal="left" vertical="center"/>
    </xf>
    <xf numFmtId="164" fontId="30" fillId="0" borderId="111" applyAlignment="1" pivotButton="0" quotePrefix="0" xfId="0">
      <alignment horizontal="left" vertical="center"/>
    </xf>
    <xf numFmtId="164" fontId="30" fillId="0" borderId="112" applyAlignment="1" pivotButton="0" quotePrefix="0" xfId="0">
      <alignment horizontal="left" vertical="center"/>
    </xf>
    <xf numFmtId="164" fontId="30" fillId="0" borderId="113" applyAlignment="1" pivotButton="0" quotePrefix="0" xfId="0">
      <alignment horizontal="left" vertical="center"/>
    </xf>
    <xf numFmtId="165" fontId="28" fillId="11" borderId="110" applyAlignment="1" pivotButton="0" quotePrefix="0" xfId="0">
      <alignment horizontal="center" vertical="center"/>
    </xf>
    <xf numFmtId="165" fontId="28" fillId="11" borderId="112" applyAlignment="1" pivotButton="0" quotePrefix="0" xfId="0">
      <alignment horizontal="center" vertical="center"/>
    </xf>
    <xf numFmtId="164" fontId="30" fillId="0" borderId="116" applyAlignment="1" pivotButton="0" quotePrefix="0" xfId="0">
      <alignment horizontal="left" vertical="center"/>
    </xf>
    <xf numFmtId="164" fontId="30" fillId="0" borderId="117" applyAlignment="1" pivotButton="0" quotePrefix="0" xfId="0">
      <alignment horizontal="left" vertical="center"/>
    </xf>
    <xf numFmtId="164" fontId="30" fillId="0" borderId="118" applyAlignment="1" pivotButton="0" quotePrefix="0" xfId="0">
      <alignment horizontal="left" vertical="center"/>
    </xf>
    <xf numFmtId="164" fontId="30" fillId="0" borderId="119" applyAlignment="1" pivotButton="0" quotePrefix="0" xfId="0">
      <alignment horizontal="left" vertical="center"/>
    </xf>
    <xf numFmtId="164" fontId="30" fillId="0" borderId="120" applyAlignment="1" pivotButton="0" quotePrefix="0" xfId="0">
      <alignment horizontal="left" vertical="center"/>
    </xf>
    <xf numFmtId="165" fontId="28" fillId="11" borderId="117" applyAlignment="1" pivotButton="0" quotePrefix="0" xfId="0">
      <alignment horizontal="center" vertical="center"/>
    </xf>
    <xf numFmtId="165" fontId="28" fillId="11" borderId="119" applyAlignment="1" pivotButton="0" quotePrefix="0" xfId="0">
      <alignment horizontal="center" vertical="center"/>
    </xf>
    <xf numFmtId="164" fontId="30" fillId="0" borderId="123" applyAlignment="1" pivotButton="0" quotePrefix="0" xfId="0">
      <alignment horizontal="left" vertical="center"/>
    </xf>
    <xf numFmtId="164" fontId="30" fillId="0" borderId="124" applyAlignment="1" pivotButton="0" quotePrefix="0" xfId="0">
      <alignment horizontal="left" vertical="center"/>
    </xf>
    <xf numFmtId="164" fontId="30" fillId="0" borderId="125" applyAlignment="1" pivotButton="0" quotePrefix="0" xfId="0">
      <alignment horizontal="left" vertical="center"/>
    </xf>
    <xf numFmtId="164" fontId="30" fillId="0" borderId="126" applyAlignment="1" pivotButton="0" quotePrefix="0" xfId="0">
      <alignment horizontal="left" vertical="center"/>
    </xf>
    <xf numFmtId="164" fontId="30" fillId="0" borderId="127" applyAlignment="1" pivotButton="0" quotePrefix="0" xfId="0">
      <alignment horizontal="left" vertical="center"/>
    </xf>
    <xf numFmtId="165" fontId="28" fillId="11" borderId="124" applyAlignment="1" pivotButton="0" quotePrefix="0" xfId="0">
      <alignment horizontal="center" vertical="center"/>
    </xf>
    <xf numFmtId="165" fontId="28" fillId="11" borderId="126" applyAlignment="1" pivotButton="0" quotePrefix="0" xfId="0">
      <alignment horizontal="center" vertical="center"/>
    </xf>
    <xf numFmtId="164" fontId="28" fillId="12" borderId="130" applyAlignment="1" pivotButton="0" quotePrefix="0" xfId="0">
      <alignment horizontal="left" vertical="center"/>
    </xf>
    <xf numFmtId="164" fontId="28" fillId="12" borderId="131" applyAlignment="1" pivotButton="0" quotePrefix="0" xfId="0">
      <alignment horizontal="left" vertical="center"/>
    </xf>
    <xf numFmtId="164" fontId="28" fillId="12" borderId="132" applyAlignment="1" pivotButton="0" quotePrefix="0" xfId="0">
      <alignment horizontal="left" vertical="center"/>
    </xf>
    <xf numFmtId="164" fontId="28" fillId="12" borderId="90" applyAlignment="1" pivotButton="0" quotePrefix="0" xfId="0">
      <alignment horizontal="left" vertical="center"/>
    </xf>
    <xf numFmtId="164" fontId="28" fillId="12" borderId="92" applyAlignment="1" pivotButton="0" quotePrefix="0" xfId="0">
      <alignment horizontal="left" vertical="center"/>
    </xf>
    <xf numFmtId="164" fontId="28" fillId="12" borderId="133" applyAlignment="1" pivotButton="0" quotePrefix="0" xfId="0">
      <alignment horizontal="left" vertical="center"/>
    </xf>
    <xf numFmtId="164" fontId="28" fillId="12" borderId="93" applyAlignment="1" pivotButton="0" quotePrefix="0" xfId="0">
      <alignment horizontal="left" vertical="center"/>
    </xf>
    <xf numFmtId="164" fontId="28" fillId="12" borderId="134" applyAlignment="1" pivotButton="0" quotePrefix="0" xfId="0">
      <alignment horizontal="left" vertical="center"/>
    </xf>
    <xf numFmtId="164" fontId="28" fillId="12" borderId="135" applyAlignment="1" pivotButton="0" quotePrefix="0" xfId="0">
      <alignment horizontal="left" vertical="center"/>
    </xf>
    <xf numFmtId="164" fontId="28" fillId="12" borderId="94" applyAlignment="1" pivotButton="0" quotePrefix="0" xfId="0">
      <alignment horizontal="left" vertical="center"/>
    </xf>
    <xf numFmtId="165" fontId="28" fillId="12" borderId="131" applyAlignment="1" pivotButton="0" quotePrefix="0" xfId="0">
      <alignment horizontal="center" vertical="center"/>
    </xf>
    <xf numFmtId="165" fontId="28" fillId="12" borderId="133" applyAlignment="1" pivotButton="0" quotePrefix="0" xfId="0">
      <alignment horizontal="center" vertical="center"/>
    </xf>
    <xf numFmtId="164" fontId="28" fillId="12" borderId="70" applyAlignment="1" pivotButton="0" quotePrefix="0" xfId="0">
      <alignment horizontal="left" vertical="center"/>
    </xf>
    <xf numFmtId="164" fontId="28" fillId="12" borderId="71" applyAlignment="1" pivotButton="0" quotePrefix="0" xfId="0">
      <alignment horizontal="left" vertical="center"/>
    </xf>
    <xf numFmtId="164" fontId="28" fillId="12" borderId="72" applyAlignment="1" pivotButton="0" quotePrefix="0" xfId="0">
      <alignment horizontal="left" vertical="center"/>
    </xf>
    <xf numFmtId="164" fontId="28" fillId="12" borderId="73" applyAlignment="1" pivotButton="0" quotePrefix="0" xfId="0">
      <alignment horizontal="left" vertical="center"/>
    </xf>
    <xf numFmtId="164" fontId="28" fillId="12" borderId="74" applyAlignment="1" pivotButton="0" quotePrefix="0" xfId="0">
      <alignment horizontal="left" vertical="center"/>
    </xf>
    <xf numFmtId="164" fontId="28" fillId="12" borderId="75" applyAlignment="1" pivotButton="0" quotePrefix="0" xfId="0">
      <alignment horizontal="left" vertical="center"/>
    </xf>
    <xf numFmtId="165" fontId="28" fillId="12" borderId="71" applyAlignment="1" pivotButton="0" quotePrefix="0" xfId="0">
      <alignment horizontal="center" vertical="center"/>
    </xf>
    <xf numFmtId="165" fontId="28" fillId="12" borderId="73" applyAlignment="1" pivotButton="0" quotePrefix="0" xfId="0">
      <alignment horizontal="center" vertical="center"/>
    </xf>
    <xf numFmtId="164" fontId="28" fillId="12" borderId="89" applyAlignment="1" pivotButton="0" quotePrefix="0" xfId="0">
      <alignment horizontal="left" vertical="center"/>
    </xf>
    <xf numFmtId="164" fontId="28" fillId="12" borderId="91" applyAlignment="1" pivotButton="0" quotePrefix="0" xfId="0">
      <alignment horizontal="left" vertical="center"/>
    </xf>
    <xf numFmtId="164" fontId="28" fillId="12" borderId="95" applyAlignment="1" pivotButton="0" quotePrefix="0" xfId="0">
      <alignment horizontal="left" vertical="center"/>
    </xf>
    <xf numFmtId="165" fontId="28" fillId="12" borderId="90" applyAlignment="1" pivotButton="0" quotePrefix="0" xfId="0">
      <alignment horizontal="center" vertical="center"/>
    </xf>
    <xf numFmtId="165" fontId="28" fillId="12" borderId="92" applyAlignment="1" pivotButton="0" quotePrefix="0" xfId="0">
      <alignment horizontal="center" vertical="center"/>
    </xf>
    <xf numFmtId="164" fontId="28" fillId="0" borderId="149" applyAlignment="1" pivotButton="0" quotePrefix="0" xfId="0">
      <alignment horizontal="left" vertical="center"/>
    </xf>
    <xf numFmtId="164" fontId="28" fillId="0" borderId="150" applyAlignment="1" pivotButton="0" quotePrefix="0" xfId="0">
      <alignment horizontal="left" vertical="center"/>
    </xf>
    <xf numFmtId="164" fontId="28" fillId="0" borderId="151" applyAlignment="1" pivotButton="0" quotePrefix="0" xfId="0">
      <alignment horizontal="left" vertical="center"/>
    </xf>
    <xf numFmtId="164" fontId="28" fillId="0" borderId="152" applyAlignment="1" pivotButton="0" quotePrefix="0" xfId="0">
      <alignment horizontal="left" vertical="center"/>
    </xf>
    <xf numFmtId="164" fontId="28" fillId="0" borderId="153" applyAlignment="1" pivotButton="0" quotePrefix="0" xfId="0">
      <alignment horizontal="left" vertical="center"/>
    </xf>
    <xf numFmtId="164" fontId="28" fillId="0" borderId="154" applyAlignment="1" pivotButton="0" quotePrefix="0" xfId="0">
      <alignment horizontal="left" vertical="center"/>
    </xf>
    <xf numFmtId="164" fontId="28" fillId="0" borderId="155" applyAlignment="1" pivotButton="0" quotePrefix="0" xfId="0">
      <alignment horizontal="left" vertical="center"/>
    </xf>
    <xf numFmtId="165" fontId="28" fillId="11" borderId="150" applyAlignment="1" pivotButton="0" quotePrefix="0" xfId="0">
      <alignment horizontal="center" vertical="center"/>
    </xf>
    <xf numFmtId="165" fontId="28" fillId="11" borderId="152" applyAlignment="1" pivotButton="0" quotePrefix="0" xfId="0">
      <alignment horizontal="center" vertical="center"/>
    </xf>
    <xf numFmtId="164" fontId="28" fillId="0" borderId="172" applyAlignment="1" pivotButton="0" quotePrefix="0" xfId="0">
      <alignment horizontal="left" vertical="center"/>
    </xf>
    <xf numFmtId="164" fontId="28" fillId="0" borderId="173" applyAlignment="1" pivotButton="0" quotePrefix="0" xfId="0">
      <alignment horizontal="left" vertical="center"/>
    </xf>
    <xf numFmtId="164" fontId="28" fillId="0" borderId="174" applyAlignment="1" pivotButton="0" quotePrefix="0" xfId="0">
      <alignment horizontal="left" vertical="center"/>
    </xf>
    <xf numFmtId="164" fontId="28" fillId="0" borderId="175" applyAlignment="1" pivotButton="0" quotePrefix="0" xfId="0">
      <alignment horizontal="left" vertical="center"/>
    </xf>
    <xf numFmtId="164" fontId="28" fillId="0" borderId="176" applyAlignment="1" pivotButton="0" quotePrefix="0" xfId="0">
      <alignment horizontal="left" vertical="center"/>
    </xf>
    <xf numFmtId="164" fontId="28" fillId="0" borderId="177" applyAlignment="1" pivotButton="0" quotePrefix="0" xfId="0">
      <alignment horizontal="left" vertical="center"/>
    </xf>
    <xf numFmtId="164" fontId="28" fillId="0" borderId="178" applyAlignment="1" pivotButton="0" quotePrefix="0" xfId="0">
      <alignment horizontal="left" vertical="center"/>
    </xf>
    <xf numFmtId="165" fontId="28" fillId="11" borderId="173" applyAlignment="1" pivotButton="0" quotePrefix="0" xfId="0">
      <alignment horizontal="center" vertical="center"/>
    </xf>
    <xf numFmtId="165" fontId="28" fillId="11" borderId="175" applyAlignment="1" pivotButton="0" quotePrefix="0" xfId="0">
      <alignment horizontal="center" vertical="center"/>
    </xf>
    <xf numFmtId="164" fontId="28" fillId="0" borderId="89" applyAlignment="1" pivotButton="0" quotePrefix="0" xfId="0">
      <alignment horizontal="left" vertical="center"/>
    </xf>
    <xf numFmtId="164" fontId="28" fillId="0" borderId="90" applyAlignment="1" pivotButton="0" quotePrefix="0" xfId="0">
      <alignment horizontal="left" vertical="center"/>
    </xf>
    <xf numFmtId="164" fontId="28" fillId="0" borderId="91" applyAlignment="1" pivotButton="0" quotePrefix="0" xfId="0">
      <alignment horizontal="left" vertical="center"/>
    </xf>
    <xf numFmtId="164" fontId="28" fillId="0" borderId="93" applyAlignment="1" pivotButton="0" quotePrefix="0" xfId="0">
      <alignment horizontal="left" vertical="center"/>
    </xf>
    <xf numFmtId="164" fontId="28" fillId="0" borderId="94" applyAlignment="1" pivotButton="0" quotePrefix="0" xfId="0">
      <alignment horizontal="left" vertical="center"/>
    </xf>
    <xf numFmtId="164" fontId="28" fillId="0" borderId="47" applyAlignment="1" pivotButton="0" quotePrefix="0" xfId="0">
      <alignment horizontal="left" vertical="center"/>
    </xf>
    <xf numFmtId="164" fontId="28" fillId="0" borderId="50" applyAlignment="1" pivotButton="0" quotePrefix="0" xfId="0">
      <alignment horizontal="left" vertical="center"/>
    </xf>
    <xf numFmtId="164" fontId="28" fillId="0" borderId="189" applyAlignment="1" pivotButton="0" quotePrefix="0" xfId="0">
      <alignment horizontal="left" vertical="center"/>
    </xf>
    <xf numFmtId="164" fontId="28" fillId="0" borderId="53" applyAlignment="1" pivotButton="0" quotePrefix="0" xfId="0">
      <alignment horizontal="left" vertical="center"/>
    </xf>
    <xf numFmtId="164" fontId="28" fillId="0" borderId="190" applyAlignment="1" pivotButton="0" quotePrefix="0" xfId="0">
      <alignment horizontal="left" vertical="center"/>
    </xf>
    <xf numFmtId="164" fontId="28" fillId="0" borderId="52" applyAlignment="1" pivotButton="0" quotePrefix="0" xfId="0">
      <alignment horizontal="left" vertical="center"/>
    </xf>
    <xf numFmtId="164" fontId="28" fillId="0" borderId="191" applyAlignment="1" pivotButton="0" quotePrefix="0" xfId="0">
      <alignment horizontal="left" vertical="center"/>
    </xf>
    <xf numFmtId="165" fontId="28" fillId="11" borderId="50" applyAlignment="1" pivotButton="0" quotePrefix="0" xfId="0">
      <alignment horizontal="center" vertical="center"/>
    </xf>
    <xf numFmtId="165" fontId="28" fillId="11" borderId="53" applyAlignment="1" pivotButton="0" quotePrefix="0" xfId="0">
      <alignment horizontal="center" vertical="center"/>
    </xf>
  </cellXfs>
  <cellStyles count="3">
    <cellStyle name="一般" xfId="0" builtinId="0"/>
    <cellStyle name="超連結" xfId="1" builtinId="8"/>
    <cellStyle name="一般_Money-05修" xfId="2"/>
  </cellStyles>
  <dxfs count="182"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ont>
        <color rgb="FFFF0000"/>
      </font>
    </dxf>
    <dxf>
      <font>
        <b val="1"/>
      </font>
      <fill>
        <patternFill>
          <bgColor theme="9" tint="0.3999450666829432"/>
        </patternFill>
      </fill>
    </dxf>
    <dxf>
      <font>
        <b val="1"/>
      </font>
      <fill>
        <patternFill>
          <bgColor theme="0" tint="-0.499984740745262"/>
        </patternFill>
      </fill>
    </dxf>
    <dxf>
      <font>
        <b val="1"/>
      </font>
      <fill>
        <patternFill>
          <bgColor theme="6" tint="0.3999450666829432"/>
        </patternFill>
      </fill>
    </dxf>
    <dxf>
      <font>
        <b val="1"/>
      </font>
      <fill>
        <patternFill>
          <bgColor theme="7" tint="0.3999450666829432"/>
        </patternFill>
      </fill>
    </dxf>
    <dxf>
      <font>
        <b val="1"/>
        <color theme="1"/>
      </font>
      <fill>
        <patternFill>
          <bgColor rgb="FF00B050"/>
        </patternFill>
      </fill>
    </dxf>
    <dxf>
      <font>
        <b val="1"/>
        <color auto="1"/>
      </font>
      <fill>
        <patternFill>
          <bgColor theme="5" tint="0.3999450666829432"/>
        </patternFill>
      </fill>
    </dxf>
    <dxf>
      <font>
        <b val="1"/>
        <color auto="1"/>
      </font>
      <fill>
        <patternFill>
          <bgColor theme="8" tint="0.3999450666829432"/>
        </patternFill>
      </fill>
    </dxf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rgb="FFFF6699"/>
        </patternFill>
      </fill>
    </dxf>
    <dxf>
      <fill>
        <patternFill>
          <bgColor theme="7" tint="0.7999816888943144"/>
        </patternFill>
      </fill>
    </dxf>
    <dxf>
      <font>
        <b val="1"/>
        <color theme="0"/>
      </font>
      <fill>
        <patternFill patternType="solid">
          <fgColor auto="1"/>
          <bgColor theme="1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theme="5" tint="-0.249946592608417"/>
        </patternFill>
      </fill>
    </dxf>
    <dxf>
      <font>
        <b val="1"/>
        <color auto="1"/>
      </font>
      <fill>
        <patternFill>
          <bgColor theme="0" tint="-0.3499862666707358"/>
        </patternFill>
      </fill>
    </dxf>
    <dxf>
      <font>
        <b val="1"/>
        <color theme="0"/>
      </font>
      <fill>
        <patternFill>
          <bgColor theme="0" tint="-0.3499862666707358"/>
        </patternFill>
      </fill>
    </dxf>
    <dxf>
      <font>
        <b val="1"/>
        <color theme="0"/>
      </font>
      <fill>
        <patternFill>
          <bgColor rgb="FF7030A0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CCFFC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b val="1"/>
      </font>
      <fill>
        <patternFill>
          <bgColor theme="0" tint="-0.499984740745262"/>
        </patternFill>
      </fill>
    </dxf>
    <dxf>
      <font>
        <b val="1"/>
      </font>
      <fill>
        <patternFill>
          <bgColor theme="6" tint="0.3999450666829432"/>
        </patternFill>
      </fill>
    </dxf>
    <dxf>
      <font>
        <b val="1"/>
      </font>
      <fill>
        <patternFill>
          <bgColor theme="7" tint="0.3999450666829432"/>
        </patternFill>
      </fill>
    </dxf>
    <dxf>
      <font>
        <b val="1"/>
        <color theme="1"/>
      </font>
      <fill>
        <patternFill>
          <bgColor rgb="FF00B050"/>
        </patternFill>
      </fill>
    </dxf>
    <dxf>
      <font>
        <b val="1"/>
        <color auto="1"/>
      </font>
      <fill>
        <patternFill>
          <bgColor theme="5" tint="0.3999450666829432"/>
        </patternFill>
      </fill>
    </dxf>
    <dxf>
      <font>
        <b val="1"/>
        <color auto="1"/>
      </font>
      <fill>
        <patternFill>
          <bgColor theme="8" tint="0.3999450666829432"/>
        </patternFill>
      </fill>
    </dxf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rgb="FFFF6699"/>
        </patternFill>
      </fill>
    </dxf>
    <dxf>
      <fill>
        <patternFill>
          <bgColor theme="7" tint="0.7999816888943144"/>
        </patternFill>
      </fill>
    </dxf>
    <dxf>
      <font>
        <b val="1"/>
        <color theme="0"/>
      </font>
      <fill>
        <patternFill patternType="solid">
          <fgColor auto="1"/>
          <bgColor theme="1"/>
        </patternFill>
      </fill>
    </dxf>
    <dxf>
      <font>
        <b val="1"/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theme="5" tint="-0.249946592608417"/>
        </patternFill>
      </fill>
    </dxf>
    <dxf>
      <font>
        <b val="1"/>
        <color auto="1"/>
      </font>
      <fill>
        <patternFill>
          <bgColor theme="0" tint="-0.3499862666707358"/>
        </patternFill>
      </fill>
    </dxf>
    <dxf>
      <font>
        <b val="1"/>
        <color theme="0"/>
      </font>
      <fill>
        <patternFill>
          <bgColor theme="0" tint="-0.3499862666707358"/>
        </patternFill>
      </fill>
    </dxf>
    <dxf>
      <font>
        <b val="1"/>
        <color theme="0"/>
      </font>
      <fill>
        <patternFill>
          <bgColor rgb="FF7030A0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FFCCFF"/>
        </patternFill>
      </fill>
    </dxf>
    <dxf>
      <fill>
        <patternFill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作者</author>
  </authors>
  <commentList>
    <comment ref="X4" authorId="0" shapeId="0">
      <text>
        <t>說明:
盤點現場產品與數量時，可作勾選記錄之儲存格。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4"/>
  <sheetViews>
    <sheetView tabSelected="1" topLeftCell="B1" zoomScaleNormal="100" workbookViewId="0">
      <pane xSplit="8" ySplit="5" topLeftCell="J6" activePane="bottomRight" state="frozen"/>
      <selection activeCell="B1" sqref="B1"/>
      <selection pane="topRight" activeCell="J1" sqref="J1"/>
      <selection pane="bottomLeft" activeCell="B6" sqref="B6"/>
      <selection pane="bottomRight" activeCell="K29" sqref="K29"/>
    </sheetView>
  </sheetViews>
  <sheetFormatPr baseColWidth="8" defaultColWidth="9" defaultRowHeight="14.25" outlineLevelRow="1"/>
  <cols>
    <col hidden="1" outlineLevel="1" width="4.375" customWidth="1" style="337" min="1" max="1"/>
    <col collapsed="1" width="4.375" customWidth="1" style="337" min="2" max="2"/>
    <col width="6.25" customWidth="1" style="66" min="3" max="3"/>
    <col width="4.875" customWidth="1" style="337" min="4" max="4"/>
    <col width="5" bestFit="1" customWidth="1" style="337" min="5" max="6"/>
    <col width="23.125" customWidth="1" style="66" min="7" max="8"/>
    <col width="26.875" bestFit="1" customWidth="1" style="66" min="9" max="9"/>
    <col width="22.875" customWidth="1" style="66" min="10" max="11"/>
    <col width="6.625" bestFit="1" customWidth="1" style="3" min="12" max="13"/>
    <col width="6.625" customWidth="1" style="3" min="14" max="14"/>
    <col hidden="1" outlineLevel="1" width="4.75" customWidth="1" style="3" min="15" max="15"/>
    <col collapsed="1" width="8" customWidth="1" style="66" min="16" max="16"/>
    <col outlineLevel="1" width="8" customWidth="1" style="66" min="17" max="20"/>
    <col width="8.5" customWidth="1" style="7" min="21" max="21"/>
    <col width="8.5" customWidth="1" style="28" min="22" max="22"/>
    <col width="23.75" customWidth="1" style="66" min="23" max="23"/>
    <col width="5.5" customWidth="1" style="66" min="24" max="24"/>
    <col width="5" customWidth="1" style="66" min="25" max="25"/>
    <col width="5.5" customWidth="1" style="29" min="26" max="26"/>
    <col hidden="1" outlineLevel="1" width="5.5" customWidth="1" style="29" min="27" max="30"/>
    <col collapsed="1" width="5.5" customWidth="1" style="29" min="31" max="31"/>
    <col outlineLevel="1" width="5.5" customWidth="1" style="29" min="32" max="35"/>
    <col width="5.5" customWidth="1" style="29" min="36" max="36"/>
    <col hidden="1" outlineLevel="1" width="5.5" customWidth="1" style="29" min="37" max="40"/>
    <col collapsed="1" width="5.5" customWidth="1" style="29" min="41" max="41"/>
    <col outlineLevel="1" width="5.5" customWidth="1" style="29" min="42" max="45"/>
    <col width="4.625" customWidth="1" style="30" min="46" max="46"/>
    <col hidden="1" outlineLevel="1" width="4.625" customWidth="1" style="30" min="47" max="47"/>
    <col hidden="1" outlineLevel="1" width="7.75" customWidth="1" style="66" min="48" max="48"/>
    <col hidden="1" outlineLevel="1" width="4.625" customWidth="1" style="66" min="49" max="49"/>
    <col collapsed="1" width="4.625" customWidth="1" style="66" min="50" max="50"/>
    <col outlineLevel="1" width="9" customWidth="1" style="66" min="51" max="51"/>
    <col outlineLevel="2" width="9" customWidth="1" style="66" min="52" max="55"/>
    <col outlineLevel="1" width="5.125" customWidth="1" style="66" min="56" max="56"/>
    <col outlineLevel="1" width="6.75" customWidth="1" style="66" min="57" max="57"/>
    <col outlineLevel="2" width="6.75" customWidth="1" style="66" min="58" max="62"/>
    <col outlineLevel="1" width="9" customWidth="1" style="66" min="63" max="63"/>
    <col outlineLevel="1" collapsed="1" width="23.75" customWidth="1" style="66" min="64" max="64"/>
    <col outlineLevel="1" width="9" customWidth="1" style="66" min="65" max="65"/>
    <col outlineLevel="2" width="9" customWidth="1" style="66" min="66" max="96"/>
    <col width="6.75" bestFit="1" customWidth="1" style="66" min="97" max="97"/>
    <col width="9" customWidth="1" style="66" min="98" max="16384"/>
  </cols>
  <sheetData>
    <row r="1" ht="17.25" customHeight="1" thickTop="1">
      <c r="B1" s="420" t="inlineStr">
        <is>
          <t>專案編號:</t>
        </is>
      </c>
      <c r="C1" s="420" t="n"/>
      <c r="D1" s="560" t="inlineStr">
        <is>
          <t>KA1055</t>
        </is>
      </c>
      <c r="E1" s="646" t="n"/>
      <c r="F1" s="646" t="n"/>
      <c r="G1" s="646" t="n"/>
      <c r="H1" s="425">
        <f>IF(I7&lt;&gt;"",G6,"")</f>
        <v/>
      </c>
      <c r="I1" s="1" t="inlineStr">
        <is>
          <t>專案型號:</t>
        </is>
      </c>
      <c r="J1" s="2" t="n"/>
      <c r="K1" s="377" t="n"/>
      <c r="L1" s="1" t="inlineStr">
        <is>
          <t>台數:</t>
        </is>
      </c>
      <c r="M1" s="419" t="n">
        <v>1</v>
      </c>
      <c r="N1" s="6" t="inlineStr">
        <is>
          <t>SET</t>
        </is>
      </c>
      <c r="O1" s="18" t="n"/>
      <c r="V1" s="8" t="inlineStr">
        <is>
          <t>★至【機械】材料表．總項次№2~301,共300項。(link)</t>
        </is>
      </c>
      <c r="W1" s="9" t="n"/>
      <c r="X1" s="9" t="n"/>
      <c r="Y1" s="9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1" t="n"/>
      <c r="AU1" s="11" t="n"/>
      <c r="AV1" s="9" t="n"/>
      <c r="AW1" s="9" t="n"/>
      <c r="AX1" s="12" t="inlineStr">
        <is>
          <t>★生管表結束位置(AX行)↓</t>
        </is>
      </c>
    </row>
    <row r="2" ht="17.25" customHeight="1" thickBot="1">
      <c r="B2" s="420" t="inlineStr">
        <is>
          <t>製表日期:</t>
        </is>
      </c>
      <c r="C2" s="420" t="n"/>
      <c r="D2" s="561" t="n">
        <v>46135</v>
      </c>
      <c r="E2" s="647" t="n"/>
      <c r="F2" s="647" t="n"/>
      <c r="G2" s="647" t="n"/>
      <c r="H2" s="426">
        <f>IF(I312&lt;&gt;"",G311,"")</f>
        <v/>
      </c>
      <c r="I2" s="1" t="inlineStr">
        <is>
          <t>專案名稱:</t>
        </is>
      </c>
      <c r="J2" s="2" t="n"/>
      <c r="K2" s="377" t="n"/>
      <c r="L2" s="18" t="n"/>
      <c r="M2" s="19" t="n"/>
      <c r="O2" s="18" t="n"/>
      <c r="V2" s="8" t="inlineStr">
        <is>
          <t>★至【電控】材料表．總項次№307~503,共200項。(link)</t>
        </is>
      </c>
      <c r="W2" s="9" t="n"/>
      <c r="X2" s="9" t="n"/>
      <c r="Y2" s="9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1" t="n"/>
      <c r="AU2" s="11" t="n"/>
      <c r="AV2" s="9" t="n"/>
      <c r="AW2" s="9" t="n"/>
      <c r="AX2" s="9" t="n"/>
    </row>
    <row r="3" ht="24.75" customHeight="1" thickBot="1" thickTop="1">
      <c r="A3" s="23" t="n"/>
      <c r="B3" s="23" t="n"/>
      <c r="C3" s="23" t="n"/>
      <c r="D3" s="428" t="n"/>
      <c r="E3" s="25" t="n"/>
      <c r="F3" s="25" t="n"/>
      <c r="G3" s="24" t="n"/>
      <c r="H3" s="23" t="n"/>
      <c r="I3" s="23" t="n"/>
      <c r="J3" s="26" t="inlineStr">
        <is>
          <t>【有/無xxBOM表】</t>
        </is>
      </c>
      <c r="K3" s="26" t="n"/>
      <c r="L3" s="26" t="n"/>
      <c r="M3" s="26" t="n"/>
      <c r="N3" s="26" t="n"/>
      <c r="O3" s="26" t="n"/>
      <c r="P3" s="27" t="inlineStr">
        <is>
          <t>↓底色：紅色：未處理！、灰色：取消。</t>
        </is>
      </c>
      <c r="AE3" s="380" t="n"/>
      <c r="AF3" s="380" t="n"/>
      <c r="AG3" s="380" t="n"/>
      <c r="AH3" s="380" t="n"/>
      <c r="AI3" s="387" t="inlineStr">
        <is>
          <t>★未發包：底色紅色。</t>
        </is>
      </c>
      <c r="AO3" s="381" t="n"/>
      <c r="AP3" s="381" t="n"/>
      <c r="AQ3" s="381" t="n"/>
      <c r="AR3" s="381" t="n"/>
      <c r="AS3" s="388" t="inlineStr">
        <is>
          <t>★未到貨：黃色底色。</t>
        </is>
      </c>
      <c r="AX3" s="31" t="n"/>
    </row>
    <row r="4" ht="22.5" customFormat="1" customHeight="1" s="414" thickTop="1">
      <c r="A4" s="636" t="inlineStr">
        <is>
          <t>總
項次</t>
        </is>
      </c>
      <c r="B4" s="638" t="inlineStr">
        <is>
          <t>實際項次</t>
        </is>
      </c>
      <c r="C4" s="640" t="inlineStr">
        <is>
          <t>綱目</t>
        </is>
      </c>
      <c r="D4" s="644" t="inlineStr">
        <is>
          <t>新品
(未購買過的請打V)</t>
        </is>
      </c>
      <c r="E4" s="589" t="inlineStr">
        <is>
          <t>數量
(單台)</t>
        </is>
      </c>
      <c r="F4" s="589" t="inlineStr">
        <is>
          <t>單位
(PCS/SET)</t>
        </is>
      </c>
      <c r="G4" s="642" t="inlineStr">
        <is>
          <t>圖號
（ERP-品號：20個字元）</t>
        </is>
      </c>
      <c r="H4" s="642" t="inlineStr">
        <is>
          <t>品號
（ERP-品號：20個字元）</t>
        </is>
      </c>
      <c r="I4" s="589" t="inlineStr">
        <is>
          <t>品名 / 大項目類型
(ERP-品名：品名/大項目類型+型號,30個字元或15個中文字內)</t>
        </is>
      </c>
      <c r="J4" s="589" t="inlineStr">
        <is>
          <t>型號
(ERP-品名：品名/大項目類型+型號,30個字元或15個中文字內)</t>
        </is>
      </c>
      <c r="K4" s="589" t="inlineStr">
        <is>
          <t>規格
(ERP-商品描述:規格+品牌+材質+表面處理,250個字元或125個中文字內)</t>
        </is>
      </c>
      <c r="L4" s="589" t="inlineStr">
        <is>
          <t>品牌
(ERP-商品描述:規格+品牌+材質+表面處理,250個字元或125個中文字內)</t>
        </is>
      </c>
      <c r="M4" s="589" t="inlineStr">
        <is>
          <t>材質
(ERP-商品描述:規格+品牌+材質+表面處理,250個字元或125個中文字內)</t>
        </is>
      </c>
      <c r="N4" s="622" t="inlineStr">
        <is>
          <t>表面處理(ERP-商品描述:規格+品牌+材質+表面處理,250個字元或125個中文字內)</t>
        </is>
      </c>
      <c r="O4" s="624" t="inlineStr">
        <is>
          <t>重量</t>
        </is>
      </c>
      <c r="P4" s="626" t="inlineStr">
        <is>
          <t>1製程
處理</t>
        </is>
      </c>
      <c r="Q4" s="597" t="inlineStr">
        <is>
          <t>2製程
處理</t>
        </is>
      </c>
      <c r="R4" s="599" t="inlineStr">
        <is>
          <t>3製程
處理</t>
        </is>
      </c>
      <c r="S4" s="597" t="inlineStr">
        <is>
          <t>4製程
處理</t>
        </is>
      </c>
      <c r="T4" s="628" t="inlineStr">
        <is>
          <t>5製程
處理</t>
        </is>
      </c>
      <c r="U4" s="630" t="inlineStr">
        <is>
          <t>新增件日期</t>
        </is>
      </c>
      <c r="V4" s="632" t="inlineStr">
        <is>
          <t>需求日期</t>
        </is>
      </c>
      <c r="W4" s="634" t="inlineStr">
        <is>
          <t>備註</t>
        </is>
      </c>
      <c r="X4" s="619" t="inlineStr">
        <is>
          <t>庫存加購</t>
        </is>
      </c>
      <c r="Y4" s="611" t="inlineStr">
        <is>
          <t>庫存盤點</t>
        </is>
      </c>
      <c r="Z4" s="613" t="inlineStr">
        <is>
          <t>詢價日期</t>
        </is>
      </c>
      <c r="AA4" s="648" t="inlineStr">
        <is>
          <t>２次詢價</t>
        </is>
      </c>
      <c r="AB4" s="649" t="inlineStr">
        <is>
          <t>３次詢價</t>
        </is>
      </c>
      <c r="AC4" s="648" t="inlineStr">
        <is>
          <t>４次詢價</t>
        </is>
      </c>
      <c r="AD4" s="650" t="inlineStr">
        <is>
          <t>５次詢價</t>
        </is>
      </c>
      <c r="AE4" s="651" t="inlineStr">
        <is>
          <t>發包日期</t>
        </is>
      </c>
      <c r="AF4" s="652" t="inlineStr">
        <is>
          <t>２次發包</t>
        </is>
      </c>
      <c r="AG4" s="653" t="inlineStr">
        <is>
          <t>３次發包</t>
        </is>
      </c>
      <c r="AH4" s="652" t="inlineStr">
        <is>
          <t>４次發包</t>
        </is>
      </c>
      <c r="AI4" s="654" t="inlineStr">
        <is>
          <t>５次發包</t>
        </is>
      </c>
      <c r="AJ4" s="609" t="inlineStr">
        <is>
          <t>預交日期</t>
        </is>
      </c>
      <c r="AK4" s="648" t="inlineStr">
        <is>
          <t>２次預交</t>
        </is>
      </c>
      <c r="AL4" s="649" t="inlineStr">
        <is>
          <t>３次預交</t>
        </is>
      </c>
      <c r="AM4" s="648" t="inlineStr">
        <is>
          <t>４次預交</t>
        </is>
      </c>
      <c r="AN4" s="650" t="inlineStr">
        <is>
          <t>５次預交</t>
        </is>
      </c>
      <c r="AO4" s="577" t="inlineStr">
        <is>
          <t>到貨日期</t>
        </is>
      </c>
      <c r="AP4" s="652" t="inlineStr">
        <is>
          <t>２次到貨</t>
        </is>
      </c>
      <c r="AQ4" s="653" t="inlineStr">
        <is>
          <t>３次到貨</t>
        </is>
      </c>
      <c r="AR4" s="652" t="inlineStr">
        <is>
          <t>４次到貨</t>
        </is>
      </c>
      <c r="AS4" s="655" t="inlineStr">
        <is>
          <t>５次到貨</t>
        </is>
      </c>
      <c r="AT4" s="585" t="inlineStr">
        <is>
          <t>逾期天數</t>
        </is>
      </c>
      <c r="AU4" s="607" t="inlineStr">
        <is>
          <t>採購天數</t>
        </is>
      </c>
      <c r="AV4" s="569" t="inlineStr">
        <is>
          <t>到貨</t>
        </is>
      </c>
      <c r="AW4" s="569" t="inlineStr">
        <is>
          <t>庫存</t>
        </is>
      </c>
      <c r="AX4" s="593" t="inlineStr">
        <is>
          <t>到貨庫存</t>
        </is>
      </c>
      <c r="AY4" s="589" t="inlineStr">
        <is>
          <t>總數量</t>
        </is>
      </c>
    </row>
    <row r="5" ht="15" customFormat="1" customHeight="1" s="414" thickBot="1">
      <c r="A5" s="656" t="n"/>
      <c r="B5" s="657" t="n"/>
      <c r="C5" s="658" t="n"/>
      <c r="D5" s="658" t="n"/>
      <c r="E5" s="657" t="n"/>
      <c r="F5" s="657" t="n"/>
      <c r="G5" s="659" t="n"/>
      <c r="H5" s="659" t="n"/>
      <c r="I5" s="657" t="n"/>
      <c r="J5" s="657" t="n"/>
      <c r="K5" s="657" t="n"/>
      <c r="L5" s="657" t="n"/>
      <c r="M5" s="657" t="n"/>
      <c r="N5" s="660" t="n"/>
      <c r="O5" s="661" t="n"/>
      <c r="P5" s="659" t="n"/>
      <c r="Q5" s="657" t="n"/>
      <c r="R5" s="657" t="n"/>
      <c r="S5" s="657" t="n"/>
      <c r="T5" s="660" t="n"/>
      <c r="U5" s="659" t="n"/>
      <c r="V5" s="660" t="n"/>
      <c r="W5" s="662" t="n"/>
      <c r="X5" s="663" t="n"/>
      <c r="Y5" s="664" t="n"/>
      <c r="Z5" s="665" t="n"/>
      <c r="AA5" s="666" t="n"/>
      <c r="AB5" s="666" t="n"/>
      <c r="AC5" s="666" t="n"/>
      <c r="AD5" s="667" t="n"/>
      <c r="AE5" s="668" t="n"/>
      <c r="AF5" s="666" t="n"/>
      <c r="AG5" s="666" t="n"/>
      <c r="AH5" s="666" t="n"/>
      <c r="AI5" s="669" t="n"/>
      <c r="AJ5" s="670" t="n"/>
      <c r="AK5" s="666" t="n"/>
      <c r="AL5" s="666" t="n"/>
      <c r="AM5" s="666" t="n"/>
      <c r="AN5" s="667" t="n"/>
      <c r="AO5" s="670" t="n"/>
      <c r="AP5" s="666" t="n"/>
      <c r="AQ5" s="666" t="n"/>
      <c r="AR5" s="666" t="n"/>
      <c r="AS5" s="667" t="n"/>
      <c r="AT5" s="671" t="n"/>
      <c r="AU5" s="672" t="n"/>
      <c r="AV5" s="672" t="n"/>
      <c r="AW5" s="672" t="n"/>
      <c r="AX5" s="673" t="n"/>
      <c r="AY5" s="657" t="n"/>
    </row>
    <row r="6" ht="18" customFormat="1" customHeight="1" s="66" thickBot="1" thickTop="1">
      <c r="A6" s="43" t="n">
        <v>1</v>
      </c>
      <c r="B6" s="439" t="n"/>
      <c r="C6" s="440" t="n"/>
      <c r="D6" s="441" t="n"/>
      <c r="E6" s="421" t="n"/>
      <c r="F6" s="421" t="n"/>
      <c r="G6" s="422" t="inlineStr">
        <is>
          <t>Ⓞ機械材料表：</t>
        </is>
      </c>
      <c r="H6" s="442" t="n"/>
      <c r="I6" s="443" t="n"/>
      <c r="J6" s="444" t="n"/>
      <c r="K6" s="444" t="n"/>
      <c r="L6" s="45" t="n"/>
      <c r="M6" s="45" t="n"/>
      <c r="N6" s="45" t="n"/>
      <c r="O6" s="45" t="n"/>
      <c r="P6" s="445" t="n"/>
      <c r="Q6" s="445" t="n"/>
      <c r="R6" s="445" t="n"/>
      <c r="S6" s="445" t="n"/>
      <c r="T6" s="445" t="n"/>
      <c r="U6" s="446" t="n"/>
      <c r="V6" s="447" t="n"/>
      <c r="W6" s="448" t="n"/>
      <c r="X6" s="449" t="n"/>
      <c r="Y6" s="450" t="n"/>
      <c r="Z6" s="674" t="n"/>
      <c r="AA6" s="675" t="n"/>
      <c r="AB6" s="675" t="n"/>
      <c r="AC6" s="675" t="n"/>
      <c r="AD6" s="676" t="n"/>
      <c r="AE6" s="677" t="n"/>
      <c r="AF6" s="678" t="n"/>
      <c r="AG6" s="678" t="n"/>
      <c r="AH6" s="678" t="n"/>
      <c r="AI6" s="679" t="n"/>
      <c r="AJ6" s="680" t="n"/>
      <c r="AK6" s="681" t="n"/>
      <c r="AL6" s="681" t="n"/>
      <c r="AM6" s="681" t="n"/>
      <c r="AN6" s="682" t="n"/>
      <c r="AO6" s="677" t="n"/>
      <c r="AP6" s="678" t="n"/>
      <c r="AQ6" s="678" t="n"/>
      <c r="AR6" s="678" t="n"/>
      <c r="AS6" s="679" t="n"/>
      <c r="AT6" s="54" t="inlineStr">
        <is>
          <t>↓公式</t>
        </is>
      </c>
      <c r="AU6" s="55" t="inlineStr">
        <is>
          <t>↓公式</t>
        </is>
      </c>
      <c r="AV6" s="55" t="inlineStr">
        <is>
          <t>到貨</t>
        </is>
      </c>
      <c r="AW6" s="55" t="inlineStr">
        <is>
          <t>庫存</t>
        </is>
      </c>
      <c r="AX6" s="56" t="inlineStr">
        <is>
          <t>↓公式</t>
        </is>
      </c>
      <c r="AY6" s="65">
        <f>E6*$M$1</f>
        <v/>
      </c>
    </row>
    <row r="7" outlineLevel="1" ht="15" customFormat="1" customHeight="1" s="66" thickTop="1">
      <c r="A7" s="499" t="n">
        <v>2</v>
      </c>
      <c r="B7" s="526" t="n">
        <v>1</v>
      </c>
      <c r="C7" s="393" t="inlineStr">
        <is>
          <t>鈑金</t>
        </is>
      </c>
      <c r="D7" s="427" t="n"/>
      <c r="E7" s="526" t="n">
        <v>1</v>
      </c>
      <c r="F7" s="526" t="inlineStr">
        <is>
          <t>PCS</t>
        </is>
      </c>
      <c r="G7" s="527" t="inlineStr">
        <is>
          <t>KA1055-1000-00A</t>
        </is>
      </c>
      <c r="H7" s="393" t="inlineStr">
        <is>
          <t>13BZ-KA1055-1000-00A</t>
        </is>
      </c>
      <c r="I7" s="528" t="inlineStr">
        <is>
          <t>固定板金</t>
        </is>
      </c>
      <c r="J7" s="528" t="n"/>
      <c r="K7" s="528" t="n"/>
      <c r="L7" s="528" t="n"/>
      <c r="M7" s="528" t="inlineStr">
        <is>
          <t>SUS304</t>
        </is>
      </c>
      <c r="N7" s="543" t="inlineStr">
        <is>
          <t>2B</t>
        </is>
      </c>
      <c r="O7" s="513" t="n">
        <v>1.2</v>
      </c>
      <c r="P7" s="532" t="inlineStr">
        <is>
          <t>鈑金</t>
        </is>
      </c>
      <c r="Q7" s="528" t="n"/>
      <c r="R7" s="528" t="n"/>
      <c r="S7" s="528" t="n"/>
      <c r="T7" s="528" t="n"/>
      <c r="U7" s="534" t="n">
        <v>46135</v>
      </c>
      <c r="V7" s="516" t="n">
        <v>46142</v>
      </c>
      <c r="W7" s="535" t="n"/>
      <c r="X7" s="536" t="n"/>
      <c r="Y7" s="519" t="n"/>
      <c r="Z7" s="683" t="n"/>
      <c r="AA7" s="684" t="n"/>
      <c r="AB7" s="684" t="n"/>
      <c r="AC7" s="684" t="n"/>
      <c r="AD7" s="685" t="n"/>
      <c r="AE7" s="686" t="n">
        <v>46149</v>
      </c>
      <c r="AF7" s="687" t="n"/>
      <c r="AG7" s="687" t="n"/>
      <c r="AH7" s="687" t="n"/>
      <c r="AI7" s="688" t="n"/>
      <c r="AJ7" s="686" t="n">
        <v>46156</v>
      </c>
      <c r="AK7" s="687" t="n"/>
      <c r="AL7" s="687" t="n"/>
      <c r="AM7" s="687" t="n"/>
      <c r="AN7" s="688" t="n"/>
      <c r="AO7" s="686" t="n">
        <v>46157</v>
      </c>
      <c r="AP7" s="689" t="n"/>
      <c r="AQ7" s="689" t="n"/>
      <c r="AR7" s="689" t="n"/>
      <c r="AS7" s="690" t="n"/>
      <c r="AT7" s="691">
        <f>IF(AJ7&lt;&gt;"",(IF(AV7="到貨","",(AJ7-TODAY()))),"")</f>
        <v/>
      </c>
      <c r="AU7" s="692">
        <f>IF(AO7&lt;&gt;"",(AO7-AE7),"")</f>
        <v/>
      </c>
      <c r="AV7" s="86">
        <f>IF(AI7&lt;&gt;"",IF(AS7&lt;&gt;"","到貨","5次發包中"),IF(AH7&lt;&gt;"",IF(AR7&lt;&gt;"","到貨","4次發包中"),IF(AG7&lt;&gt;"",IF(AQ7&lt;&gt;"","到貨","3次發包中"),IF(AF7&lt;&gt;"",IF(AP7&lt;&gt;"","到貨","2次發包中"),IF(AE7&lt;&gt;"",IF(AO7&lt;&gt;"","到貨","發包中"),"")))))</f>
        <v/>
      </c>
      <c r="AW7" s="86">
        <f>IF(OR($AW$6=Y7),$AW$6,"")</f>
        <v/>
      </c>
      <c r="AX7" s="87">
        <f t="array" ref="AX7">IF(OR(AV7:AW7={"到貨","庫存"}),"完成","")</f>
        <v/>
      </c>
      <c r="AY7" s="92">
        <f>E7*$M$1</f>
        <v/>
      </c>
    </row>
    <row r="8" outlineLevel="1">
      <c r="A8" s="67" t="n">
        <v>3</v>
      </c>
      <c r="B8" s="526" t="n">
        <v>2</v>
      </c>
      <c r="C8" s="393" t="inlineStr">
        <is>
          <t>鈑金</t>
        </is>
      </c>
      <c r="D8" s="427" t="n"/>
      <c r="E8" s="526" t="n">
        <v>1</v>
      </c>
      <c r="F8" s="526" t="inlineStr">
        <is>
          <t>PCS</t>
        </is>
      </c>
      <c r="G8" s="527" t="inlineStr">
        <is>
          <t>KA1055-1001-00A</t>
        </is>
      </c>
      <c r="H8" s="393" t="inlineStr">
        <is>
          <t>13BZ-KA1055-1001-00A</t>
        </is>
      </c>
      <c r="I8" s="528" t="inlineStr">
        <is>
          <t>固定板金</t>
        </is>
      </c>
      <c r="J8" s="528" t="n"/>
      <c r="K8" s="528" t="n"/>
      <c r="L8" s="529" t="n"/>
      <c r="M8" s="529" t="inlineStr">
        <is>
          <t>SUS304</t>
        </is>
      </c>
      <c r="N8" s="530" t="inlineStr">
        <is>
          <t>2B</t>
        </is>
      </c>
      <c r="O8" s="531" t="n">
        <v>1.2</v>
      </c>
      <c r="P8" s="532" t="inlineStr">
        <is>
          <t>鈑金</t>
        </is>
      </c>
      <c r="Q8" s="528" t="n"/>
      <c r="R8" s="528" t="n"/>
      <c r="S8" s="528" t="n"/>
      <c r="T8" s="533" t="n"/>
      <c r="U8" s="534" t="n">
        <v>46135</v>
      </c>
      <c r="V8" s="516" t="n">
        <v>46142</v>
      </c>
      <c r="W8" s="535" t="n"/>
      <c r="X8" s="536" t="n"/>
      <c r="Y8" s="519" t="n"/>
      <c r="Z8" s="683" t="n"/>
      <c r="AA8" s="684" t="n"/>
      <c r="AB8" s="684" t="n"/>
      <c r="AC8" s="684" t="n"/>
      <c r="AD8" s="685" t="n"/>
      <c r="AE8" s="686" t="n">
        <v>46149</v>
      </c>
      <c r="AF8" s="687" t="n"/>
      <c r="AG8" s="687" t="n"/>
      <c r="AH8" s="687" t="n"/>
      <c r="AI8" s="688" t="n"/>
      <c r="AJ8" s="686" t="n">
        <v>46156</v>
      </c>
      <c r="AK8" s="687" t="n"/>
      <c r="AL8" s="687" t="n"/>
      <c r="AM8" s="687" t="n"/>
      <c r="AN8" s="688" t="n"/>
      <c r="AO8" s="686" t="n">
        <v>46157</v>
      </c>
      <c r="AP8" s="689" t="n"/>
      <c r="AQ8" s="689" t="n"/>
      <c r="AR8" s="689" t="n"/>
      <c r="AS8" s="690" t="n"/>
      <c r="AT8" s="691">
        <f>IF(AJ8&lt;&gt;"",(IF(AV8="到貨","",(AJ8-TODAY()))),"")</f>
        <v/>
      </c>
      <c r="AU8" s="692">
        <f>IF(AO8&lt;&gt;"",(AO8-AE8),"")</f>
        <v/>
      </c>
      <c r="AV8" s="86">
        <f>IF(AI8&lt;&gt;"",IF(AS8&lt;&gt;"","到貨","5次發包中"),IF(AH8&lt;&gt;"",IF(AR8&lt;&gt;"","到貨","4次發包中"),IF(AG8&lt;&gt;"",IF(AQ8&lt;&gt;"","到貨","3次發包中"),IF(AF8&lt;&gt;"",IF(AP8&lt;&gt;"","到貨","2次發包中"),IF(AE8&lt;&gt;"",IF(AO8&lt;&gt;"","到貨","發包中"),"")))))</f>
        <v/>
      </c>
      <c r="AW8" s="86">
        <f>IF(OR($AW$6=Y8),$AW$6,"")</f>
        <v/>
      </c>
      <c r="AX8" s="87">
        <f t="array" ref="AX8">IF(OR(AV8:AW8={"到貨","庫存"}),"完成","")</f>
        <v/>
      </c>
      <c r="AY8" s="92">
        <f>E8*$M$1</f>
        <v/>
      </c>
    </row>
    <row r="9" outlineLevel="1">
      <c r="A9" s="67" t="n">
        <v>4</v>
      </c>
      <c r="B9" s="526" t="n">
        <v>3</v>
      </c>
      <c r="C9" s="393" t="inlineStr">
        <is>
          <t>鈑金</t>
        </is>
      </c>
      <c r="D9" s="427" t="n"/>
      <c r="E9" s="526" t="n">
        <v>1</v>
      </c>
      <c r="F9" s="526" t="inlineStr">
        <is>
          <t>PCS</t>
        </is>
      </c>
      <c r="G9" s="527" t="inlineStr">
        <is>
          <t>KA1055-1002-00A</t>
        </is>
      </c>
      <c r="H9" s="393" t="inlineStr">
        <is>
          <t>13BZ-KA1055-1002-00A</t>
        </is>
      </c>
      <c r="I9" s="528" t="inlineStr">
        <is>
          <t>固定板金</t>
        </is>
      </c>
      <c r="J9" s="528" t="n"/>
      <c r="K9" s="528" t="n"/>
      <c r="L9" s="529" t="n"/>
      <c r="M9" s="529" t="inlineStr">
        <is>
          <t>SUS304</t>
        </is>
      </c>
      <c r="N9" s="530" t="inlineStr">
        <is>
          <t>2B(改BA)</t>
        </is>
      </c>
      <c r="O9" s="531" t="n">
        <v>1.2</v>
      </c>
      <c r="P9" s="532" t="inlineStr">
        <is>
          <t>鈑金</t>
        </is>
      </c>
      <c r="Q9" s="528" t="n"/>
      <c r="R9" s="528" t="n"/>
      <c r="S9" s="528" t="n"/>
      <c r="T9" s="533" t="n"/>
      <c r="U9" s="534" t="n">
        <v>46135</v>
      </c>
      <c r="V9" s="516" t="n">
        <v>46142</v>
      </c>
      <c r="W9" s="535" t="n"/>
      <c r="X9" s="536" t="n"/>
      <c r="Y9" s="519" t="n"/>
      <c r="Z9" s="683" t="n"/>
      <c r="AA9" s="684" t="n"/>
      <c r="AB9" s="684" t="n"/>
      <c r="AC9" s="684" t="n"/>
      <c r="AD9" s="685" t="n"/>
      <c r="AE9" s="686" t="n">
        <v>46149</v>
      </c>
      <c r="AF9" s="687" t="n"/>
      <c r="AG9" s="687" t="n"/>
      <c r="AH9" s="687" t="n"/>
      <c r="AI9" s="688" t="n"/>
      <c r="AJ9" s="686" t="n">
        <v>46156</v>
      </c>
      <c r="AK9" s="687" t="n"/>
      <c r="AL9" s="687" t="n"/>
      <c r="AM9" s="687" t="n"/>
      <c r="AN9" s="688" t="n"/>
      <c r="AO9" s="686" t="n">
        <v>46157</v>
      </c>
      <c r="AP9" s="689" t="n"/>
      <c r="AQ9" s="689" t="n"/>
      <c r="AR9" s="689" t="n"/>
      <c r="AS9" s="690" t="n"/>
      <c r="AT9" s="691">
        <f>IF(AJ9&lt;&gt;"",(IF(AV9="到貨","",(AJ9-TODAY()))),"")</f>
        <v/>
      </c>
      <c r="AU9" s="692">
        <f>IF(AO9&lt;&gt;"",(AO9-AE9),"")</f>
        <v/>
      </c>
      <c r="AV9" s="86">
        <f>IF(AI9&lt;&gt;"",IF(AS9&lt;&gt;"","到貨","5次發包中"),IF(AH9&lt;&gt;"",IF(AR9&lt;&gt;"","到貨","4次發包中"),IF(AG9&lt;&gt;"",IF(AQ9&lt;&gt;"","到貨","3次發包中"),IF(AF9&lt;&gt;"",IF(AP9&lt;&gt;"","到貨","2次發包中"),IF(AE9&lt;&gt;"",IF(AO9&lt;&gt;"","到貨","發包中"),"")))))</f>
        <v/>
      </c>
      <c r="AW9" s="86">
        <f>IF(OR($AW$6=Y9),$AW$6,"")</f>
        <v/>
      </c>
      <c r="AX9" s="87">
        <f t="array" ref="AX9">IF(OR(AV9:AW9={"到貨","庫存"}),"完成","")</f>
        <v/>
      </c>
      <c r="AY9" s="92">
        <f>E9*$M$1</f>
        <v/>
      </c>
    </row>
    <row r="10" outlineLevel="1">
      <c r="A10" s="67" t="n">
        <v>5</v>
      </c>
      <c r="B10" s="526" t="n">
        <v>4</v>
      </c>
      <c r="C10" s="393" t="inlineStr">
        <is>
          <t>鈑金</t>
        </is>
      </c>
      <c r="D10" s="427" t="n"/>
      <c r="E10" s="526" t="n">
        <v>2</v>
      </c>
      <c r="F10" s="526" t="inlineStr">
        <is>
          <t>PCS</t>
        </is>
      </c>
      <c r="G10" s="527" t="inlineStr">
        <is>
          <t>KA1055-1003-00A</t>
        </is>
      </c>
      <c r="H10" s="393" t="inlineStr">
        <is>
          <t>13BZ-KA1055-1003-00A</t>
        </is>
      </c>
      <c r="I10" s="528" t="inlineStr">
        <is>
          <t>固定板金</t>
        </is>
      </c>
      <c r="J10" s="528" t="n"/>
      <c r="K10" s="528" t="n"/>
      <c r="L10" s="529" t="n"/>
      <c r="M10" s="529" t="inlineStr">
        <is>
          <t>SUS304</t>
        </is>
      </c>
      <c r="N10" s="530" t="inlineStr">
        <is>
          <t>2B</t>
        </is>
      </c>
      <c r="O10" s="531" t="n">
        <v>1.2</v>
      </c>
      <c r="P10" s="532" t="inlineStr">
        <is>
          <t>鈑金</t>
        </is>
      </c>
      <c r="Q10" s="528" t="n"/>
      <c r="R10" s="528" t="n"/>
      <c r="S10" s="528" t="n"/>
      <c r="T10" s="533" t="n"/>
      <c r="U10" s="534" t="n">
        <v>46135</v>
      </c>
      <c r="V10" s="516" t="n">
        <v>46142</v>
      </c>
      <c r="W10" s="535" t="n"/>
      <c r="X10" s="536" t="n"/>
      <c r="Y10" s="519" t="n"/>
      <c r="Z10" s="683" t="n"/>
      <c r="AA10" s="684" t="n"/>
      <c r="AB10" s="684" t="n"/>
      <c r="AC10" s="684" t="n"/>
      <c r="AD10" s="685" t="n"/>
      <c r="AE10" s="686" t="n">
        <v>46149</v>
      </c>
      <c r="AF10" s="687" t="n"/>
      <c r="AG10" s="687" t="n"/>
      <c r="AH10" s="687" t="n"/>
      <c r="AI10" s="688" t="n"/>
      <c r="AJ10" s="686" t="n">
        <v>46156</v>
      </c>
      <c r="AK10" s="687" t="n"/>
      <c r="AL10" s="687" t="n"/>
      <c r="AM10" s="687" t="n"/>
      <c r="AN10" s="688" t="n"/>
      <c r="AO10" s="686" t="n">
        <v>46157</v>
      </c>
      <c r="AP10" s="689" t="n"/>
      <c r="AQ10" s="689" t="n"/>
      <c r="AR10" s="689" t="n"/>
      <c r="AS10" s="690" t="n"/>
      <c r="AT10" s="691">
        <f>IF(AJ10&lt;&gt;"",(IF(AV10="到貨","",(AJ10-TODAY()))),"")</f>
        <v/>
      </c>
      <c r="AU10" s="692">
        <f>IF(AO10&lt;&gt;"",(AO10-AE10),"")</f>
        <v/>
      </c>
      <c r="AV10" s="86">
        <f>IF(AI10&lt;&gt;"",IF(AS10&lt;&gt;"","到貨","5次發包中"),IF(AH10&lt;&gt;"",IF(AR10&lt;&gt;"","到貨","4次發包中"),IF(AG10&lt;&gt;"",IF(AQ10&lt;&gt;"","到貨","3次發包中"),IF(AF10&lt;&gt;"",IF(AP10&lt;&gt;"","到貨","2次發包中"),IF(AE10&lt;&gt;"",IF(AO10&lt;&gt;"","到貨","發包中"),"")))))</f>
        <v/>
      </c>
      <c r="AW10" s="86">
        <f>IF(OR($AW$6=Y10),$AW$6,"")</f>
        <v/>
      </c>
      <c r="AX10" s="87">
        <f t="array" ref="AX10">IF(OR(AV10:AW10={"到貨","庫存"}),"完成","")</f>
        <v/>
      </c>
      <c r="AY10" s="92">
        <f>E10*$M$1</f>
        <v/>
      </c>
    </row>
    <row r="11" outlineLevel="1">
      <c r="A11" s="67" t="n">
        <v>6</v>
      </c>
      <c r="B11" s="526" t="n">
        <v>5</v>
      </c>
      <c r="C11" s="393" t="inlineStr">
        <is>
          <t>鈑金</t>
        </is>
      </c>
      <c r="D11" s="427" t="n"/>
      <c r="E11" s="526" t="n">
        <v>1</v>
      </c>
      <c r="F11" s="526" t="inlineStr">
        <is>
          <t>PCS</t>
        </is>
      </c>
      <c r="G11" s="527" t="inlineStr">
        <is>
          <t>KA1055-1004-00A</t>
        </is>
      </c>
      <c r="H11" s="393" t="inlineStr">
        <is>
          <t>13BZ-KA1055-1004-00A</t>
        </is>
      </c>
      <c r="I11" s="528" t="inlineStr">
        <is>
          <t>固定板金</t>
        </is>
      </c>
      <c r="J11" s="528" t="n"/>
      <c r="K11" s="528" t="n"/>
      <c r="L11" s="529" t="n"/>
      <c r="M11" s="529" t="inlineStr">
        <is>
          <t>SUS304</t>
        </is>
      </c>
      <c r="N11" s="530" t="inlineStr">
        <is>
          <t>N01(改BA)</t>
        </is>
      </c>
      <c r="O11" s="531" t="n">
        <v>1.2</v>
      </c>
      <c r="P11" s="532" t="inlineStr">
        <is>
          <t>鈑金</t>
        </is>
      </c>
      <c r="Q11" s="528" t="n"/>
      <c r="R11" s="528" t="n"/>
      <c r="S11" s="528" t="n"/>
      <c r="T11" s="533" t="n"/>
      <c r="U11" s="534" t="n">
        <v>46135</v>
      </c>
      <c r="V11" s="516" t="n">
        <v>46142</v>
      </c>
      <c r="W11" s="535" t="n"/>
      <c r="X11" s="536" t="n"/>
      <c r="Y11" s="537" t="n"/>
      <c r="Z11" s="693" t="n"/>
      <c r="AA11" s="694" t="n"/>
      <c r="AB11" s="694" t="n"/>
      <c r="AC11" s="694" t="n"/>
      <c r="AD11" s="695" t="n"/>
      <c r="AE11" s="686" t="n">
        <v>46149</v>
      </c>
      <c r="AF11" s="687" t="n"/>
      <c r="AG11" s="687" t="n"/>
      <c r="AH11" s="687" t="n"/>
      <c r="AI11" s="688" t="n"/>
      <c r="AJ11" s="686" t="n">
        <v>46156</v>
      </c>
      <c r="AK11" s="696" t="n"/>
      <c r="AL11" s="696" t="n"/>
      <c r="AM11" s="696" t="n"/>
      <c r="AN11" s="697" t="n"/>
      <c r="AO11" s="686" t="n">
        <v>46157</v>
      </c>
      <c r="AP11" s="689" t="n"/>
      <c r="AQ11" s="689" t="n"/>
      <c r="AR11" s="689" t="n"/>
      <c r="AS11" s="690" t="n"/>
      <c r="AT11" s="698">
        <f>IF(AJ11&lt;&gt;"",(IF(AV11="到貨","",(AJ11-TODAY()))),"")</f>
        <v/>
      </c>
      <c r="AU11" s="699">
        <f>IF(AO11&lt;&gt;"",(AO11-AE11),"")</f>
        <v/>
      </c>
      <c r="AV11" s="102">
        <f>IF(AI11&lt;&gt;"",IF(AS11&lt;&gt;"","到貨","5次發包中"),IF(AH11&lt;&gt;"",IF(AR11&lt;&gt;"","到貨","4次發包中"),IF(AG11&lt;&gt;"",IF(AQ11&lt;&gt;"","到貨","3次發包中"),IF(AF11&lt;&gt;"",IF(AP11&lt;&gt;"","到貨","2次發包中"),IF(AE11&lt;&gt;"",IF(AO11&lt;&gt;"","到貨","發包中"),"")))))</f>
        <v/>
      </c>
      <c r="AW11" s="102">
        <f>IF(OR($AW$6=Y11),$AW$6,"")</f>
        <v/>
      </c>
      <c r="AX11" s="103">
        <f t="array" ref="AX11">IF(OR(AV11:AW11={"到貨","庫存"}),"完成","")</f>
        <v/>
      </c>
      <c r="AY11" s="92">
        <f>E11*$M$1</f>
        <v/>
      </c>
    </row>
    <row r="12" outlineLevel="1">
      <c r="A12" s="67" t="n">
        <v>7</v>
      </c>
      <c r="B12" s="526" t="n">
        <v>6</v>
      </c>
      <c r="C12" s="393" t="inlineStr">
        <is>
          <t>鈑金</t>
        </is>
      </c>
      <c r="D12" s="427" t="n"/>
      <c r="E12" s="526" t="n">
        <v>1</v>
      </c>
      <c r="F12" s="526" t="inlineStr">
        <is>
          <t>PCS</t>
        </is>
      </c>
      <c r="G12" s="527" t="inlineStr">
        <is>
          <t>KA1055-1005-00A</t>
        </is>
      </c>
      <c r="H12" s="393" t="inlineStr">
        <is>
          <t>13BZ-KA1055-1005-00A</t>
        </is>
      </c>
      <c r="I12" s="528" t="inlineStr">
        <is>
          <t>固定板金</t>
        </is>
      </c>
      <c r="J12" s="528" t="n"/>
      <c r="K12" s="528" t="n"/>
      <c r="L12" s="529" t="n"/>
      <c r="M12" s="529" t="inlineStr">
        <is>
          <t>SUS304</t>
        </is>
      </c>
      <c r="N12" s="530" t="inlineStr">
        <is>
          <t>N01(改BA)</t>
        </is>
      </c>
      <c r="O12" s="531" t="n">
        <v>1.2</v>
      </c>
      <c r="P12" s="532" t="inlineStr">
        <is>
          <t>鈑金</t>
        </is>
      </c>
      <c r="Q12" s="528" t="n"/>
      <c r="R12" s="528" t="n"/>
      <c r="S12" s="528" t="n"/>
      <c r="T12" s="543" t="n"/>
      <c r="U12" s="534" t="n">
        <v>46135</v>
      </c>
      <c r="V12" s="516" t="n">
        <v>46142</v>
      </c>
      <c r="W12" s="535" t="n"/>
      <c r="X12" s="536" t="n"/>
      <c r="Y12" s="544" t="n"/>
      <c r="Z12" s="700" t="n"/>
      <c r="AA12" s="701" t="n"/>
      <c r="AB12" s="701" t="n"/>
      <c r="AC12" s="701" t="n"/>
      <c r="AD12" s="702" t="n"/>
      <c r="AE12" s="686" t="n">
        <v>46149</v>
      </c>
      <c r="AF12" s="687" t="n"/>
      <c r="AG12" s="687" t="n"/>
      <c r="AH12" s="687" t="n"/>
      <c r="AI12" s="688" t="n"/>
      <c r="AJ12" s="686" t="n">
        <v>46156</v>
      </c>
      <c r="AK12" s="703" t="n"/>
      <c r="AL12" s="703" t="n"/>
      <c r="AM12" s="703" t="n"/>
      <c r="AN12" s="704" t="n"/>
      <c r="AO12" s="686" t="n">
        <v>46161</v>
      </c>
      <c r="AP12" s="689" t="n"/>
      <c r="AQ12" s="689" t="n"/>
      <c r="AR12" s="689" t="n"/>
      <c r="AS12" s="690" t="n"/>
      <c r="AT12" s="705">
        <f>IF(AJ12&lt;&gt;"",(IF(AV12="到貨","",(AJ12-TODAY()))),"")</f>
        <v/>
      </c>
      <c r="AU12" s="706">
        <f>IF(AO12&lt;&gt;"",(AO12-AE12),"")</f>
        <v/>
      </c>
      <c r="AV12" s="106">
        <f>IF(AI12&lt;&gt;"",IF(AS12&lt;&gt;"","到貨","5次發包中"),IF(AH12&lt;&gt;"",IF(AR12&lt;&gt;"","到貨","4次發包中"),IF(AG12&lt;&gt;"",IF(AQ12&lt;&gt;"","到貨","3次發包中"),IF(AF12&lt;&gt;"",IF(AP12&lt;&gt;"","到貨","2次發包中"),IF(AE12&lt;&gt;"",IF(AO12&lt;&gt;"","到貨","發包中"),"")))))</f>
        <v/>
      </c>
      <c r="AW12" s="106">
        <f>IF(OR($AW$6=Y12),$AW$6,"")</f>
        <v/>
      </c>
      <c r="AX12" s="107">
        <f t="array" ref="AX12">IF(OR(AV12:AW12={"到貨","庫存"}),"完成","")</f>
        <v/>
      </c>
      <c r="AY12" s="92">
        <f>E12*$M$1</f>
        <v/>
      </c>
    </row>
    <row r="13" outlineLevel="1">
      <c r="A13" s="67" t="n">
        <v>8</v>
      </c>
      <c r="B13" s="526" t="n">
        <v>7</v>
      </c>
      <c r="C13" s="393" t="inlineStr">
        <is>
          <t>鈑金</t>
        </is>
      </c>
      <c r="D13" s="427" t="n"/>
      <c r="E13" s="526" t="n">
        <v>1</v>
      </c>
      <c r="F13" s="526" t="inlineStr">
        <is>
          <t>PCS</t>
        </is>
      </c>
      <c r="G13" s="527" t="inlineStr">
        <is>
          <t>KA1055-1006-00A</t>
        </is>
      </c>
      <c r="H13" s="393" t="inlineStr">
        <is>
          <t>13BZ-KA1055-1006-00A</t>
        </is>
      </c>
      <c r="I13" s="528" t="inlineStr">
        <is>
          <t>固定板金</t>
        </is>
      </c>
      <c r="J13" s="528" t="n"/>
      <c r="K13" s="528" t="n"/>
      <c r="L13" s="529" t="n"/>
      <c r="M13" s="529" t="inlineStr">
        <is>
          <t>SUS304</t>
        </is>
      </c>
      <c r="N13" s="530" t="inlineStr">
        <is>
          <t>2B</t>
        </is>
      </c>
      <c r="O13" s="531" t="n">
        <v>1.2</v>
      </c>
      <c r="P13" s="532" t="inlineStr">
        <is>
          <t>鈑金</t>
        </is>
      </c>
      <c r="Q13" s="528" t="n"/>
      <c r="R13" s="528" t="n"/>
      <c r="S13" s="528" t="n"/>
      <c r="T13" s="543" t="n"/>
      <c r="U13" s="534" t="n">
        <v>46135</v>
      </c>
      <c r="V13" s="516" t="n">
        <v>46142</v>
      </c>
      <c r="W13" s="535" t="n"/>
      <c r="X13" s="536" t="n"/>
      <c r="Y13" s="544" t="n"/>
      <c r="Z13" s="700" t="n"/>
      <c r="AA13" s="701" t="n"/>
      <c r="AB13" s="701" t="n"/>
      <c r="AC13" s="701" t="n"/>
      <c r="AD13" s="702" t="n"/>
      <c r="AE13" s="686" t="n">
        <v>46149</v>
      </c>
      <c r="AF13" s="687" t="n"/>
      <c r="AG13" s="687" t="n"/>
      <c r="AH13" s="687" t="n"/>
      <c r="AI13" s="688" t="n"/>
      <c r="AJ13" s="686" t="n">
        <v>46156</v>
      </c>
      <c r="AK13" s="703" t="n"/>
      <c r="AL13" s="703" t="n"/>
      <c r="AM13" s="703" t="n"/>
      <c r="AN13" s="704" t="n"/>
      <c r="AO13" s="686" t="n">
        <v>46157</v>
      </c>
      <c r="AP13" s="689" t="n"/>
      <c r="AQ13" s="689" t="n"/>
      <c r="AR13" s="689" t="n"/>
      <c r="AS13" s="690" t="n"/>
      <c r="AT13" s="705">
        <f>IF(AJ13&lt;&gt;"",(IF(AV13="到貨","",(AJ13-TODAY()))),"")</f>
        <v/>
      </c>
      <c r="AU13" s="706">
        <f>IF(AO13&lt;&gt;"",(AO13-AE13),"")</f>
        <v/>
      </c>
      <c r="AV13" s="106">
        <f>IF(AI13&lt;&gt;"",IF(AS13&lt;&gt;"","到貨","5次發包中"),IF(AH13&lt;&gt;"",IF(AR13&lt;&gt;"","到貨","4次發包中"),IF(AG13&lt;&gt;"",IF(AQ13&lt;&gt;"","到貨","3次發包中"),IF(AF13&lt;&gt;"",IF(AP13&lt;&gt;"","到貨","2次發包中"),IF(AE13&lt;&gt;"",IF(AO13&lt;&gt;"","到貨","發包中"),"")))))</f>
        <v/>
      </c>
      <c r="AW13" s="106">
        <f>IF(OR($AW$6=Y13),$AW$6,"")</f>
        <v/>
      </c>
      <c r="AX13" s="107">
        <f t="array" ref="AX13">IF(OR(AV13:AW13={"到貨","庫存"}),"完成","")</f>
        <v/>
      </c>
      <c r="AY13" s="92">
        <f>E13*$M$1</f>
        <v/>
      </c>
    </row>
    <row r="14" outlineLevel="1">
      <c r="A14" s="67" t="n">
        <v>9</v>
      </c>
      <c r="B14" s="526" t="n">
        <v>8</v>
      </c>
      <c r="C14" s="393" t="inlineStr">
        <is>
          <t>鈑金</t>
        </is>
      </c>
      <c r="D14" s="427" t="n"/>
      <c r="E14" s="526" t="n">
        <v>1</v>
      </c>
      <c r="F14" s="526" t="inlineStr">
        <is>
          <t>PCS</t>
        </is>
      </c>
      <c r="G14" s="527" t="inlineStr">
        <is>
          <t>KA1055-1007-00A</t>
        </is>
      </c>
      <c r="H14" s="393" t="inlineStr">
        <is>
          <t>13BZ-KA1055-1007-00A</t>
        </is>
      </c>
      <c r="I14" s="528" t="inlineStr">
        <is>
          <t>固定板金</t>
        </is>
      </c>
      <c r="J14" s="528" t="n"/>
      <c r="K14" s="528" t="n"/>
      <c r="L14" s="529" t="n"/>
      <c r="M14" s="529" t="inlineStr">
        <is>
          <t>SUS304</t>
        </is>
      </c>
      <c r="N14" s="530" t="inlineStr">
        <is>
          <t>2B</t>
        </is>
      </c>
      <c r="O14" s="531" t="n"/>
      <c r="P14" s="527" t="inlineStr">
        <is>
          <t>鈑金</t>
        </is>
      </c>
      <c r="Q14" s="528" t="n"/>
      <c r="R14" s="528" t="n"/>
      <c r="S14" s="528" t="n"/>
      <c r="T14" s="543" t="n"/>
      <c r="U14" s="534" t="n">
        <v>46232</v>
      </c>
      <c r="V14" s="516" t="n">
        <v>46239</v>
      </c>
      <c r="W14" s="535" t="inlineStr">
        <is>
          <t>20260729-A079:新增件-(A109)。</t>
        </is>
      </c>
      <c r="X14" s="536" t="n"/>
      <c r="Y14" s="544" t="n"/>
      <c r="Z14" s="700" t="n"/>
      <c r="AA14" s="701" t="n"/>
      <c r="AB14" s="701" t="n"/>
      <c r="AC14" s="701" t="n"/>
      <c r="AD14" s="702" t="n"/>
      <c r="AE14" s="686" t="n">
        <v>46238</v>
      </c>
      <c r="AF14" s="687" t="n"/>
      <c r="AG14" s="687" t="n"/>
      <c r="AH14" s="687" t="n"/>
      <c r="AI14" s="688" t="n"/>
      <c r="AJ14" s="686" t="n">
        <v>46241</v>
      </c>
      <c r="AK14" s="703" t="n"/>
      <c r="AL14" s="703" t="n"/>
      <c r="AM14" s="703" t="n"/>
      <c r="AN14" s="704" t="n"/>
      <c r="AO14" s="686" t="n">
        <v>46246</v>
      </c>
      <c r="AP14" s="689" t="n"/>
      <c r="AQ14" s="689" t="n"/>
      <c r="AR14" s="689" t="n"/>
      <c r="AS14" s="690" t="n"/>
      <c r="AT14" s="705">
        <f>IF(AJ14&lt;&gt;"",(IF(AV14="到貨","",(AJ14-TODAY()))),"")</f>
        <v/>
      </c>
      <c r="AU14" s="706">
        <f>IF(AO14&lt;&gt;"",(AO14-AE14),"")</f>
        <v/>
      </c>
      <c r="AV14" s="106">
        <f>IF(AI14&lt;&gt;"",IF(AS14&lt;&gt;"","到貨","5次發包中"),IF(AH14&lt;&gt;"",IF(AR14&lt;&gt;"","到貨","4次發包中"),IF(AG14&lt;&gt;"",IF(AQ14&lt;&gt;"","到貨","3次發包中"),IF(AF14&lt;&gt;"",IF(AP14&lt;&gt;"","到貨","2次發包中"),IF(AE14&lt;&gt;"",IF(AO14&lt;&gt;"","到貨","發包中"),"")))))</f>
        <v/>
      </c>
      <c r="AW14" s="106">
        <f>IF(OR($AW$6=Y14),$AW$6,"")</f>
        <v/>
      </c>
      <c r="AX14" s="107">
        <f t="array" ref="AX14">IF(OR(AV14:AW14={"到貨","庫存"}),"完成","")</f>
        <v/>
      </c>
      <c r="AY14" s="92">
        <f>E14*$M$1</f>
        <v/>
      </c>
    </row>
    <row r="15" outlineLevel="1">
      <c r="A15" s="67" t="n">
        <v>10</v>
      </c>
      <c r="B15" s="526" t="n">
        <v>9</v>
      </c>
      <c r="C15" s="393" t="inlineStr">
        <is>
          <t>鋁擠</t>
        </is>
      </c>
      <c r="D15" s="427" t="n"/>
      <c r="E15" s="526" t="n">
        <v>1</v>
      </c>
      <c r="F15" s="526" t="inlineStr">
        <is>
          <t>PCS</t>
        </is>
      </c>
      <c r="G15" s="527" t="inlineStr">
        <is>
          <t>KA1055-1008-00A</t>
        </is>
      </c>
      <c r="H15" s="393" t="inlineStr">
        <is>
          <t>13BZ-KA1055-1008-00A</t>
        </is>
      </c>
      <c r="I15" s="528" t="inlineStr">
        <is>
          <t>鋁擠</t>
        </is>
      </c>
      <c r="J15" s="528" t="n"/>
      <c r="K15" s="528" t="n"/>
      <c r="L15" s="529" t="n"/>
      <c r="M15" s="529" t="inlineStr">
        <is>
          <t>AL6061</t>
        </is>
      </c>
      <c r="N15" s="530" t="inlineStr">
        <is>
          <t>ED</t>
        </is>
      </c>
      <c r="O15" s="531" t="n"/>
      <c r="P15" s="527" t="inlineStr">
        <is>
          <t>餘料</t>
        </is>
      </c>
      <c r="Q15" s="528" t="inlineStr">
        <is>
          <t>銑床</t>
        </is>
      </c>
      <c r="R15" s="528" t="n"/>
      <c r="S15" s="528" t="n"/>
      <c r="T15" s="543" t="n"/>
      <c r="U15" s="534" t="n">
        <v>46232</v>
      </c>
      <c r="V15" s="516" t="n">
        <v>46239</v>
      </c>
      <c r="W15" s="535" t="inlineStr">
        <is>
          <t>20260729-A079:新增件(有材料的話可三廠加工處理)-(A109)。</t>
        </is>
      </c>
      <c r="X15" s="536" t="n"/>
      <c r="Y15" s="550" t="n"/>
      <c r="Z15" s="707" t="n"/>
      <c r="AA15" s="708" t="n"/>
      <c r="AB15" s="708" t="n"/>
      <c r="AC15" s="708" t="n"/>
      <c r="AD15" s="709" t="n"/>
      <c r="AE15" s="686" t="inlineStr">
        <is>
          <t>X</t>
        </is>
      </c>
      <c r="AF15" s="687" t="n">
        <v>46238</v>
      </c>
      <c r="AG15" s="687" t="n"/>
      <c r="AH15" s="687" t="n"/>
      <c r="AI15" s="688" t="n"/>
      <c r="AJ15" s="686" t="n"/>
      <c r="AK15" s="710" t="n"/>
      <c r="AL15" s="710" t="n"/>
      <c r="AM15" s="710" t="n"/>
      <c r="AN15" s="711" t="n"/>
      <c r="AO15" s="686" t="n"/>
      <c r="AP15" s="689" t="n">
        <v>46239</v>
      </c>
      <c r="AQ15" s="689" t="n"/>
      <c r="AR15" s="689" t="n"/>
      <c r="AS15" s="690" t="n"/>
      <c r="AT15" s="712">
        <f>IF(AJ15&lt;&gt;"",(IF(AV15="到貨","",(AJ15-TODAY()))),"")</f>
        <v/>
      </c>
      <c r="AU15" s="713">
        <f>IF(AO15&lt;&gt;"",(AO15-AE15),"")</f>
        <v/>
      </c>
      <c r="AV15" s="110">
        <f>IF(AI15&lt;&gt;"",IF(AS15&lt;&gt;"","到貨","5次發包中"),IF(AH15&lt;&gt;"",IF(AR15&lt;&gt;"","到貨","4次發包中"),IF(AG15&lt;&gt;"",IF(AQ15&lt;&gt;"","到貨","3次發包中"),IF(AF15&lt;&gt;"",IF(AP15&lt;&gt;"","到貨","2次發包中"),IF(AE15&lt;&gt;"",IF(AO15&lt;&gt;"","到貨","發包中"),"")))))</f>
        <v/>
      </c>
      <c r="AW15" s="110">
        <f>IF(OR($AW$6=Y15),$AW$6,"")</f>
        <v/>
      </c>
      <c r="AX15" s="111">
        <f t="array" ref="AX15">IF(OR(AV15:AW15={"到貨","庫存"}),"完成","")</f>
        <v/>
      </c>
      <c r="AY15" s="92">
        <f>E15*$M$1</f>
        <v/>
      </c>
    </row>
    <row r="16" outlineLevel="1">
      <c r="A16" s="67" t="n">
        <v>11</v>
      </c>
      <c r="B16" s="526" t="n"/>
      <c r="C16" s="393" t="n"/>
      <c r="D16" s="427" t="n"/>
      <c r="E16" s="526" t="n"/>
      <c r="F16" s="526" t="n"/>
      <c r="G16" s="527" t="n"/>
      <c r="H16" s="393" t="n"/>
      <c r="I16" s="528" t="n"/>
      <c r="J16" s="528" t="n"/>
      <c r="K16" s="528" t="n"/>
      <c r="L16" s="529" t="n"/>
      <c r="M16" s="529" t="n"/>
      <c r="N16" s="530" t="n"/>
      <c r="O16" s="531" t="n"/>
      <c r="P16" s="527" t="n"/>
      <c r="Q16" s="528" t="n"/>
      <c r="R16" s="528" t="n"/>
      <c r="S16" s="528" t="n"/>
      <c r="T16" s="543" t="n"/>
      <c r="U16" s="534" t="n"/>
      <c r="V16" s="516" t="n"/>
      <c r="W16" s="535" t="n"/>
      <c r="X16" s="536" t="n"/>
      <c r="Y16" s="519" t="n"/>
      <c r="Z16" s="683" t="n"/>
      <c r="AA16" s="684" t="n"/>
      <c r="AB16" s="684" t="n"/>
      <c r="AC16" s="684" t="n"/>
      <c r="AD16" s="685" t="n"/>
      <c r="AE16" s="686" t="n"/>
      <c r="AF16" s="687" t="n"/>
      <c r="AG16" s="687" t="n"/>
      <c r="AH16" s="687" t="n"/>
      <c r="AI16" s="688" t="n"/>
      <c r="AJ16" s="686" t="n"/>
      <c r="AK16" s="687" t="n"/>
      <c r="AL16" s="687" t="n"/>
      <c r="AM16" s="687" t="n"/>
      <c r="AN16" s="688" t="n"/>
      <c r="AO16" s="686" t="n"/>
      <c r="AP16" s="689" t="n"/>
      <c r="AQ16" s="689" t="n"/>
      <c r="AR16" s="689" t="n"/>
      <c r="AS16" s="690" t="n"/>
      <c r="AT16" s="691">
        <f>IF(AJ16&lt;&gt;"",(IF(AV16="到貨","",(AJ16-TODAY()))),"")</f>
        <v/>
      </c>
      <c r="AU16" s="692">
        <f>IF(AO16&lt;&gt;"",(AO16-AE16),"")</f>
        <v/>
      </c>
      <c r="AV16" s="86">
        <f>IF(AI16&lt;&gt;"",IF(AS16&lt;&gt;"","到貨","5次發包中"),IF(AH16&lt;&gt;"",IF(AR16&lt;&gt;"","到貨","4次發包中"),IF(AG16&lt;&gt;"",IF(AQ16&lt;&gt;"","到貨","3次發包中"),IF(AF16&lt;&gt;"",IF(AP16&lt;&gt;"","到貨","2次發包中"),IF(AE16&lt;&gt;"",IF(AO16&lt;&gt;"","到貨","發包中"),"")))))</f>
        <v/>
      </c>
      <c r="AW16" s="86">
        <f>IF(OR($AW$6=Y16),$AW$6,"")</f>
        <v/>
      </c>
      <c r="AX16" s="87">
        <f t="array" ref="AX16">IF(OR(AV16:AW16={"到貨","庫存"}),"完成","")</f>
        <v/>
      </c>
      <c r="AY16" s="92">
        <f>E16*$M$1</f>
        <v/>
      </c>
    </row>
    <row r="17" outlineLevel="1">
      <c r="A17" s="67" t="n">
        <v>12</v>
      </c>
      <c r="B17" s="526" t="n"/>
      <c r="C17" s="393" t="n"/>
      <c r="D17" s="427" t="n"/>
      <c r="E17" s="526" t="n"/>
      <c r="F17" s="526" t="n"/>
      <c r="G17" s="527" t="n"/>
      <c r="H17" s="393" t="n"/>
      <c r="I17" s="528" t="n"/>
      <c r="J17" s="528" t="n"/>
      <c r="K17" s="528" t="n"/>
      <c r="L17" s="529" t="n"/>
      <c r="M17" s="529" t="n"/>
      <c r="N17" s="530" t="n"/>
      <c r="O17" s="531" t="n"/>
      <c r="P17" s="527" t="n"/>
      <c r="Q17" s="528" t="n"/>
      <c r="R17" s="528" t="n"/>
      <c r="S17" s="528" t="n"/>
      <c r="T17" s="543" t="n"/>
      <c r="U17" s="534" t="n"/>
      <c r="V17" s="516" t="n"/>
      <c r="W17" s="535" t="n"/>
      <c r="X17" s="536" t="n"/>
      <c r="Y17" s="519" t="n"/>
      <c r="Z17" s="683" t="n"/>
      <c r="AA17" s="684" t="n"/>
      <c r="AB17" s="684" t="n"/>
      <c r="AC17" s="684" t="n"/>
      <c r="AD17" s="685" t="n"/>
      <c r="AE17" s="686" t="n"/>
      <c r="AF17" s="687" t="n"/>
      <c r="AG17" s="687" t="n"/>
      <c r="AH17" s="687" t="n"/>
      <c r="AI17" s="688" t="n"/>
      <c r="AJ17" s="686" t="n"/>
      <c r="AK17" s="687" t="n"/>
      <c r="AL17" s="687" t="n"/>
      <c r="AM17" s="687" t="n"/>
      <c r="AN17" s="688" t="n"/>
      <c r="AO17" s="686" t="n"/>
      <c r="AP17" s="689" t="n"/>
      <c r="AQ17" s="689" t="n"/>
      <c r="AR17" s="689" t="n"/>
      <c r="AS17" s="690" t="n"/>
      <c r="AT17" s="691">
        <f>IF(AJ17&lt;&gt;"",(IF(AV17="到貨","",(AJ17-TODAY()))),"")</f>
        <v/>
      </c>
      <c r="AU17" s="692">
        <f>IF(AO17&lt;&gt;"",(AO17-AE17),"")</f>
        <v/>
      </c>
      <c r="AV17" s="86">
        <f>IF(AI17&lt;&gt;"",IF(AS17&lt;&gt;"","到貨","5次發包中"),IF(AH17&lt;&gt;"",IF(AR17&lt;&gt;"","到貨","4次發包中"),IF(AG17&lt;&gt;"",IF(AQ17&lt;&gt;"","到貨","3次發包中"),IF(AF17&lt;&gt;"",IF(AP17&lt;&gt;"","到貨","2次發包中"),IF(AE17&lt;&gt;"",IF(AO17&lt;&gt;"","到貨","發包中"),"")))))</f>
        <v/>
      </c>
      <c r="AW17" s="86">
        <f>IF(OR($AW$6=Y17),$AW$6,"")</f>
        <v/>
      </c>
      <c r="AX17" s="87">
        <f t="array" ref="AX17">IF(OR(AV17:AW17={"到貨","庫存"}),"完成","")</f>
        <v/>
      </c>
      <c r="AY17" s="92">
        <f>E17*$M$1</f>
        <v/>
      </c>
    </row>
    <row r="18">
      <c r="A18" s="67" t="n">
        <v>13</v>
      </c>
      <c r="B18" s="526" t="n"/>
      <c r="C18" s="393" t="n"/>
      <c r="D18" s="427" t="n"/>
      <c r="E18" s="526" t="n"/>
      <c r="F18" s="526" t="n"/>
      <c r="G18" s="527" t="n"/>
      <c r="H18" s="393" t="n"/>
      <c r="I18" s="528" t="n"/>
      <c r="J18" s="528" t="n"/>
      <c r="K18" s="528" t="n"/>
      <c r="L18" s="529" t="n"/>
      <c r="M18" s="529" t="n"/>
      <c r="N18" s="530" t="n"/>
      <c r="O18" s="531" t="n"/>
      <c r="P18" s="527" t="n"/>
      <c r="Q18" s="528" t="n"/>
      <c r="R18" s="528" t="n"/>
      <c r="S18" s="528" t="n"/>
      <c r="T18" s="543" t="n"/>
      <c r="U18" s="534" t="n"/>
      <c r="V18" s="516" t="n"/>
      <c r="W18" s="535" t="n"/>
      <c r="X18" s="536" t="n"/>
      <c r="Y18" s="519" t="n"/>
      <c r="Z18" s="683" t="n"/>
      <c r="AA18" s="684" t="n"/>
      <c r="AB18" s="684" t="n"/>
      <c r="AC18" s="684" t="n"/>
      <c r="AD18" s="685" t="n"/>
      <c r="AE18" s="686" t="n"/>
      <c r="AF18" s="687" t="n"/>
      <c r="AG18" s="687" t="n"/>
      <c r="AH18" s="687" t="n"/>
      <c r="AI18" s="688" t="n"/>
      <c r="AJ18" s="686" t="n"/>
      <c r="AK18" s="687" t="n"/>
      <c r="AL18" s="687" t="n"/>
      <c r="AM18" s="687" t="n"/>
      <c r="AN18" s="688" t="n"/>
      <c r="AO18" s="686" t="n"/>
      <c r="AP18" s="689" t="n"/>
      <c r="AQ18" s="689" t="n"/>
      <c r="AR18" s="689" t="n"/>
      <c r="AS18" s="690" t="n"/>
      <c r="AT18" s="691">
        <f>IF(AJ18&lt;&gt;"",(IF(AV18="到貨","",(AJ18-TODAY()))),"")</f>
        <v/>
      </c>
      <c r="AU18" s="692">
        <f>IF(AO18&lt;&gt;"",(AO18-AE18),"")</f>
        <v/>
      </c>
      <c r="AV18" s="86">
        <f>IF(AI18&lt;&gt;"",IF(AS18&lt;&gt;"","到貨","5次發包中"),IF(AH18&lt;&gt;"",IF(AR18&lt;&gt;"","到貨","4次發包中"),IF(AG18&lt;&gt;"",IF(AQ18&lt;&gt;"","到貨","3次發包中"),IF(AF18&lt;&gt;"",IF(AP18&lt;&gt;"","到貨","2次發包中"),IF(AE18&lt;&gt;"",IF(AO18&lt;&gt;"","到貨","發包中"),"")))))</f>
        <v/>
      </c>
      <c r="AW18" s="86">
        <f>IF(OR($AW$6=Y18),$AW$6,"")</f>
        <v/>
      </c>
      <c r="AX18" s="87">
        <f t="array" ref="AX18">IF(OR(AV18:AW18={"到貨","庫存"}),"完成","")</f>
        <v/>
      </c>
      <c r="AY18" s="92">
        <f>E18*$M$1</f>
        <v/>
      </c>
    </row>
    <row r="19" outlineLevel="1">
      <c r="A19" s="67" t="n">
        <v>14</v>
      </c>
      <c r="B19" s="526" t="n"/>
      <c r="C19" s="393" t="n"/>
      <c r="D19" s="427" t="n"/>
      <c r="E19" s="526" t="n"/>
      <c r="F19" s="526" t="n"/>
      <c r="G19" s="527" t="n"/>
      <c r="H19" s="393" t="n"/>
      <c r="I19" s="528" t="n"/>
      <c r="J19" s="528" t="n"/>
      <c r="K19" s="528" t="n"/>
      <c r="L19" s="529" t="n"/>
      <c r="M19" s="529" t="n"/>
      <c r="N19" s="530" t="n"/>
      <c r="O19" s="531" t="n"/>
      <c r="P19" s="527" t="n"/>
      <c r="Q19" s="528" t="n"/>
      <c r="R19" s="528" t="n"/>
      <c r="S19" s="528" t="n"/>
      <c r="T19" s="543" t="n"/>
      <c r="U19" s="534" t="n"/>
      <c r="V19" s="516" t="n"/>
      <c r="W19" s="535" t="n"/>
      <c r="X19" s="536" t="n"/>
      <c r="Y19" s="519" t="n"/>
      <c r="Z19" s="683" t="n"/>
      <c r="AA19" s="684" t="n"/>
      <c r="AB19" s="684" t="n"/>
      <c r="AC19" s="684" t="n"/>
      <c r="AD19" s="685" t="n"/>
      <c r="AE19" s="686" t="n"/>
      <c r="AF19" s="684" t="n"/>
      <c r="AG19" s="687" t="n"/>
      <c r="AH19" s="687" t="n"/>
      <c r="AI19" s="684" t="n"/>
      <c r="AJ19" s="686" t="n"/>
      <c r="AK19" s="687" t="n"/>
      <c r="AL19" s="687" t="n"/>
      <c r="AM19" s="687" t="n"/>
      <c r="AN19" s="688" t="n"/>
      <c r="AO19" s="686" t="n"/>
      <c r="AP19" s="689" t="n"/>
      <c r="AQ19" s="689" t="n"/>
      <c r="AR19" s="689" t="n"/>
      <c r="AS19" s="690" t="n"/>
      <c r="AT19" s="691">
        <f>IF(AJ19&lt;&gt;"",(IF(AV19="到貨","",(AJ19-TODAY()))),"")</f>
        <v/>
      </c>
      <c r="AU19" s="692">
        <f>IF(AO19&lt;&gt;"",(AO19-AE19),"")</f>
        <v/>
      </c>
      <c r="AV19" s="86">
        <f>IF(AI19&lt;&gt;"",IF(AS19&lt;&gt;"","到貨","5次發包中"),IF(AH19&lt;&gt;"",IF(AR19&lt;&gt;"","到貨","4次發包中"),IF(AG19&lt;&gt;"",IF(AQ19&lt;&gt;"","到貨","3次發包中"),IF(AF19&lt;&gt;"",IF(AP19&lt;&gt;"","到貨","2次發包中"),IF(AE19&lt;&gt;"",IF(AO19&lt;&gt;"","到貨","發包中"),"")))))</f>
        <v/>
      </c>
      <c r="AW19" s="86">
        <f>IF(OR($AW$6=Y19),$AW$6,"")</f>
        <v/>
      </c>
      <c r="AX19" s="87">
        <f t="array" ref="AX19">IF(OR(AV19:AW19={"到貨","庫存"}),"完成","")</f>
        <v/>
      </c>
      <c r="AY19" s="92">
        <f>E19*$M$1</f>
        <v/>
      </c>
    </row>
    <row r="20" outlineLevel="1">
      <c r="A20" s="67" t="n">
        <v>15</v>
      </c>
      <c r="B20" s="526" t="n"/>
      <c r="C20" s="393" t="n"/>
      <c r="D20" s="427" t="n"/>
      <c r="E20" s="526" t="n"/>
      <c r="F20" s="526" t="n"/>
      <c r="G20" s="527" t="n"/>
      <c r="H20" s="393" t="n"/>
      <c r="I20" s="528" t="n"/>
      <c r="J20" s="528" t="n"/>
      <c r="K20" s="528" t="n"/>
      <c r="L20" s="529" t="n"/>
      <c r="M20" s="529" t="n"/>
      <c r="N20" s="530" t="n"/>
      <c r="O20" s="531" t="n"/>
      <c r="P20" s="527" t="n"/>
      <c r="Q20" s="528" t="n"/>
      <c r="R20" s="528" t="n"/>
      <c r="S20" s="528" t="n"/>
      <c r="T20" s="543" t="n"/>
      <c r="U20" s="534" t="n"/>
      <c r="V20" s="516" t="n"/>
      <c r="W20" s="535" t="n"/>
      <c r="X20" s="536" t="n"/>
      <c r="Y20" s="519" t="n"/>
      <c r="Z20" s="683" t="n"/>
      <c r="AA20" s="684" t="n"/>
      <c r="AB20" s="684" t="n"/>
      <c r="AC20" s="684" t="n"/>
      <c r="AD20" s="685" t="n"/>
      <c r="AE20" s="686" t="n"/>
      <c r="AF20" s="684" t="n"/>
      <c r="AG20" s="687" t="n"/>
      <c r="AH20" s="687" t="n"/>
      <c r="AI20" s="684" t="n"/>
      <c r="AJ20" s="686" t="n"/>
      <c r="AK20" s="687" t="n"/>
      <c r="AL20" s="687" t="n"/>
      <c r="AM20" s="687" t="n"/>
      <c r="AN20" s="688" t="n"/>
      <c r="AO20" s="686" t="n"/>
      <c r="AP20" s="689" t="n"/>
      <c r="AQ20" s="689" t="n"/>
      <c r="AR20" s="689" t="n"/>
      <c r="AS20" s="690" t="n"/>
      <c r="AT20" s="691">
        <f>IF(AJ20&lt;&gt;"",(IF(AV20="到貨","",(AJ20-TODAY()))),"")</f>
        <v/>
      </c>
      <c r="AU20" s="692">
        <f>IF(AO20&lt;&gt;"",(AO20-AE20),"")</f>
        <v/>
      </c>
      <c r="AV20" s="86">
        <f>IF(AI20&lt;&gt;"",IF(AS20&lt;&gt;"","到貨","5次發包中"),IF(AH20&lt;&gt;"",IF(AR20&lt;&gt;"","到貨","4次發包中"),IF(AG20&lt;&gt;"",IF(AQ20&lt;&gt;"","到貨","3次發包中"),IF(AF20&lt;&gt;"",IF(AP20&lt;&gt;"","到貨","2次發包中"),IF(AE20&lt;&gt;"",IF(AO20&lt;&gt;"","到貨","發包中"),"")))))</f>
        <v/>
      </c>
      <c r="AW20" s="86">
        <f>IF(OR($AW$6=Y20),$AW$6,"")</f>
        <v/>
      </c>
      <c r="AX20" s="87">
        <f t="array" ref="AX20">IF(OR(AV20:AW20={"到貨","庫存"}),"完成","")</f>
        <v/>
      </c>
      <c r="AY20" s="92">
        <f>E20*$M$1</f>
        <v/>
      </c>
    </row>
    <row r="21" outlineLevel="1">
      <c r="A21" s="67" t="n">
        <v>16</v>
      </c>
      <c r="B21" s="526" t="n"/>
      <c r="C21" s="393" t="n"/>
      <c r="D21" s="427" t="n"/>
      <c r="E21" s="526" t="n"/>
      <c r="F21" s="526" t="n"/>
      <c r="G21" s="527" t="n"/>
      <c r="H21" s="393" t="n"/>
      <c r="I21" s="528" t="n"/>
      <c r="J21" s="528" t="n"/>
      <c r="K21" s="528" t="n"/>
      <c r="L21" s="529" t="n"/>
      <c r="M21" s="529" t="n"/>
      <c r="N21" s="530" t="n"/>
      <c r="O21" s="531" t="n"/>
      <c r="P21" s="527" t="n"/>
      <c r="Q21" s="528" t="n"/>
      <c r="R21" s="528" t="n"/>
      <c r="S21" s="528" t="n"/>
      <c r="T21" s="543" t="n"/>
      <c r="U21" s="534" t="n"/>
      <c r="V21" s="516" t="n"/>
      <c r="W21" s="535" t="n"/>
      <c r="X21" s="536" t="n"/>
      <c r="Y21" s="519" t="n"/>
      <c r="Z21" s="683" t="n"/>
      <c r="AA21" s="684" t="n"/>
      <c r="AB21" s="684" t="n"/>
      <c r="AC21" s="684" t="n"/>
      <c r="AD21" s="685" t="n"/>
      <c r="AE21" s="686" t="n"/>
      <c r="AF21" s="684" t="n"/>
      <c r="AG21" s="687" t="n"/>
      <c r="AH21" s="687" t="n"/>
      <c r="AI21" s="684" t="n"/>
      <c r="AJ21" s="686" t="n"/>
      <c r="AK21" s="687" t="n"/>
      <c r="AL21" s="687" t="n"/>
      <c r="AM21" s="687" t="n"/>
      <c r="AN21" s="688" t="n"/>
      <c r="AO21" s="686" t="n"/>
      <c r="AP21" s="689" t="n"/>
      <c r="AQ21" s="689" t="n"/>
      <c r="AR21" s="689" t="n"/>
      <c r="AS21" s="690" t="n"/>
      <c r="AT21" s="691">
        <f>IF(AJ21&lt;&gt;"",(IF(AV21="到貨","",(AJ21-TODAY()))),"")</f>
        <v/>
      </c>
      <c r="AU21" s="692">
        <f>IF(AO21&lt;&gt;"",(AO21-AE21),"")</f>
        <v/>
      </c>
      <c r="AV21" s="86">
        <f>IF(AI21&lt;&gt;"",IF(AS21&lt;&gt;"","到貨","5次發包中"),IF(AH21&lt;&gt;"",IF(AR21&lt;&gt;"","到貨","4次發包中"),IF(AG21&lt;&gt;"",IF(AQ21&lt;&gt;"","到貨","3次發包中"),IF(AF21&lt;&gt;"",IF(AP21&lt;&gt;"","到貨","2次發包中"),IF(AE21&lt;&gt;"",IF(AO21&lt;&gt;"","到貨","發包中"),"")))))</f>
        <v/>
      </c>
      <c r="AW21" s="86">
        <f>IF(OR($AW$6=Y21),$AW$6,"")</f>
        <v/>
      </c>
      <c r="AX21" s="87">
        <f t="array" ref="AX21">IF(OR(AV21:AW21={"到貨","庫存"}),"完成","")</f>
        <v/>
      </c>
      <c r="AY21" s="92">
        <f>E21*$M$1</f>
        <v/>
      </c>
    </row>
    <row r="22" outlineLevel="1">
      <c r="A22" s="67" t="n">
        <v>17</v>
      </c>
      <c r="B22" s="526" t="n"/>
      <c r="C22" s="393" t="n"/>
      <c r="D22" s="427" t="n"/>
      <c r="E22" s="526" t="n"/>
      <c r="F22" s="526" t="n"/>
      <c r="G22" s="527" t="n"/>
      <c r="H22" s="393" t="n"/>
      <c r="I22" s="528" t="n"/>
      <c r="J22" s="528" t="n"/>
      <c r="K22" s="528" t="n"/>
      <c r="L22" s="529" t="n"/>
      <c r="M22" s="529" t="n"/>
      <c r="N22" s="530" t="n"/>
      <c r="O22" s="531" t="n"/>
      <c r="P22" s="527" t="n"/>
      <c r="Q22" s="528" t="n"/>
      <c r="R22" s="528" t="n"/>
      <c r="S22" s="528" t="n"/>
      <c r="T22" s="543" t="n"/>
      <c r="U22" s="534" t="n"/>
      <c r="V22" s="516" t="n"/>
      <c r="W22" s="535" t="n"/>
      <c r="X22" s="536" t="n"/>
      <c r="Y22" s="519" t="n"/>
      <c r="Z22" s="683" t="n"/>
      <c r="AA22" s="684" t="n"/>
      <c r="AB22" s="684" t="n"/>
      <c r="AC22" s="684" t="n"/>
      <c r="AD22" s="685" t="n"/>
      <c r="AE22" s="686" t="n"/>
      <c r="AF22" s="684" t="n"/>
      <c r="AG22" s="687" t="n"/>
      <c r="AH22" s="687" t="n"/>
      <c r="AI22" s="684" t="n"/>
      <c r="AJ22" s="686" t="n"/>
      <c r="AK22" s="687" t="n"/>
      <c r="AL22" s="687" t="n"/>
      <c r="AM22" s="687" t="n"/>
      <c r="AN22" s="688" t="n"/>
      <c r="AO22" s="686" t="n"/>
      <c r="AP22" s="689" t="n"/>
      <c r="AQ22" s="689" t="n"/>
      <c r="AR22" s="689" t="n"/>
      <c r="AS22" s="690" t="n"/>
      <c r="AT22" s="691">
        <f>IF(AJ22&lt;&gt;"",(IF(AV22="到貨","",(AJ22-TODAY()))),"")</f>
        <v/>
      </c>
      <c r="AU22" s="692">
        <f>IF(AO22&lt;&gt;"",(AO22-AE22),"")</f>
        <v/>
      </c>
      <c r="AV22" s="86">
        <f>IF(AI22&lt;&gt;"",IF(AS22&lt;&gt;"","到貨","5次發包中"),IF(AH22&lt;&gt;"",IF(AR22&lt;&gt;"","到貨","4次發包中"),IF(AG22&lt;&gt;"",IF(AQ22&lt;&gt;"","到貨","3次發包中"),IF(AF22&lt;&gt;"",IF(AP22&lt;&gt;"","到貨","2次發包中"),IF(AE22&lt;&gt;"",IF(AO22&lt;&gt;"","到貨","發包中"),"")))))</f>
        <v/>
      </c>
      <c r="AW22" s="86">
        <f>IF(OR($AW$6=Y22),$AW$6,"")</f>
        <v/>
      </c>
      <c r="AX22" s="87">
        <f t="array" ref="AX22">IF(OR(AV22:AW22={"到貨","庫存"}),"完成","")</f>
        <v/>
      </c>
      <c r="AY22" s="92">
        <f>E22*$M$1</f>
        <v/>
      </c>
    </row>
    <row r="23" outlineLevel="1">
      <c r="A23" s="67" t="n">
        <v>18</v>
      </c>
      <c r="B23" s="526" t="n"/>
      <c r="C23" s="393" t="n"/>
      <c r="D23" s="427" t="n"/>
      <c r="E23" s="526" t="n"/>
      <c r="F23" s="526" t="n"/>
      <c r="G23" s="527" t="n"/>
      <c r="H23" s="393" t="n"/>
      <c r="I23" s="528" t="n"/>
      <c r="J23" s="528" t="n"/>
      <c r="K23" s="528" t="n"/>
      <c r="L23" s="529" t="n"/>
      <c r="M23" s="529" t="n"/>
      <c r="N23" s="530" t="n"/>
      <c r="O23" s="531" t="n"/>
      <c r="P23" s="527" t="n"/>
      <c r="Q23" s="528" t="n"/>
      <c r="R23" s="528" t="n"/>
      <c r="S23" s="528" t="n"/>
      <c r="T23" s="543" t="n"/>
      <c r="U23" s="534" t="n"/>
      <c r="V23" s="516" t="n"/>
      <c r="W23" s="535" t="n"/>
      <c r="X23" s="536" t="n"/>
      <c r="Y23" s="519" t="n"/>
      <c r="Z23" s="683" t="n"/>
      <c r="AA23" s="684" t="n"/>
      <c r="AB23" s="684" t="n"/>
      <c r="AC23" s="684" t="n"/>
      <c r="AD23" s="685" t="n"/>
      <c r="AE23" s="686" t="n"/>
      <c r="AF23" s="684" t="n"/>
      <c r="AG23" s="687" t="n"/>
      <c r="AH23" s="687" t="n"/>
      <c r="AI23" s="684" t="n"/>
      <c r="AJ23" s="686" t="n"/>
      <c r="AK23" s="687" t="n"/>
      <c r="AL23" s="687" t="n"/>
      <c r="AM23" s="687" t="n"/>
      <c r="AN23" s="688" t="n"/>
      <c r="AO23" s="686" t="n"/>
      <c r="AP23" s="689" t="n"/>
      <c r="AQ23" s="689" t="n"/>
      <c r="AR23" s="689" t="n"/>
      <c r="AS23" s="690" t="n"/>
      <c r="AT23" s="691">
        <f>IF(AJ23&lt;&gt;"",(IF(AV23="到貨","",(AJ23-TODAY()))),"")</f>
        <v/>
      </c>
      <c r="AU23" s="692">
        <f>IF(AO23&lt;&gt;"",(AO23-AE23),"")</f>
        <v/>
      </c>
      <c r="AV23" s="86">
        <f>IF(AI23&lt;&gt;"",IF(AS23&lt;&gt;"","到貨","5次發包中"),IF(AH23&lt;&gt;"",IF(AR23&lt;&gt;"","到貨","4次發包中"),IF(AG23&lt;&gt;"",IF(AQ23&lt;&gt;"","到貨","3次發包中"),IF(AF23&lt;&gt;"",IF(AP23&lt;&gt;"","到貨","2次發包中"),IF(AE23&lt;&gt;"",IF(AO23&lt;&gt;"","到貨","發包中"),"")))))</f>
        <v/>
      </c>
      <c r="AW23" s="86">
        <f>IF(OR($AW$6=Y23),$AW$6,"")</f>
        <v/>
      </c>
      <c r="AX23" s="87">
        <f t="array" ref="AX23">IF(OR(AV23:AW23={"到貨","庫存"}),"完成","")</f>
        <v/>
      </c>
      <c r="AY23" s="92">
        <f>E23*$M$1</f>
        <v/>
      </c>
    </row>
    <row r="24" outlineLevel="1">
      <c r="A24" s="67" t="n">
        <v>19</v>
      </c>
      <c r="B24" s="526" t="n"/>
      <c r="C24" s="393" t="n"/>
      <c r="D24" s="427" t="n"/>
      <c r="E24" s="526" t="n"/>
      <c r="F24" s="526" t="n"/>
      <c r="G24" s="527" t="n"/>
      <c r="H24" s="393" t="n"/>
      <c r="I24" s="528" t="n"/>
      <c r="J24" s="528" t="n"/>
      <c r="K24" s="528" t="n"/>
      <c r="L24" s="529" t="n"/>
      <c r="M24" s="529" t="n"/>
      <c r="N24" s="530" t="n"/>
      <c r="O24" s="531" t="n"/>
      <c r="P24" s="527" t="n"/>
      <c r="Q24" s="528" t="n"/>
      <c r="R24" s="528" t="n"/>
      <c r="S24" s="528" t="n"/>
      <c r="T24" s="543" t="n"/>
      <c r="U24" s="534" t="n"/>
      <c r="V24" s="516" t="n"/>
      <c r="W24" s="535" t="n"/>
      <c r="X24" s="536" t="n"/>
      <c r="Y24" s="519" t="n"/>
      <c r="Z24" s="683" t="n"/>
      <c r="AA24" s="684" t="n"/>
      <c r="AB24" s="684" t="n"/>
      <c r="AC24" s="684" t="n"/>
      <c r="AD24" s="685" t="n"/>
      <c r="AE24" s="686" t="n"/>
      <c r="AF24" s="684" t="n"/>
      <c r="AG24" s="687" t="n"/>
      <c r="AH24" s="687" t="n"/>
      <c r="AI24" s="684" t="n"/>
      <c r="AJ24" s="686" t="n"/>
      <c r="AK24" s="687" t="n"/>
      <c r="AL24" s="687" t="n"/>
      <c r="AM24" s="687" t="n"/>
      <c r="AN24" s="688" t="n"/>
      <c r="AO24" s="686" t="n"/>
      <c r="AP24" s="689" t="n"/>
      <c r="AQ24" s="689" t="n"/>
      <c r="AR24" s="689" t="n"/>
      <c r="AS24" s="690" t="n"/>
      <c r="AT24" s="691">
        <f>IF(AJ24&lt;&gt;"",(IF(AV24="到貨","",(AJ24-TODAY()))),"")</f>
        <v/>
      </c>
      <c r="AU24" s="692">
        <f>IF(AO24&lt;&gt;"",(AO24-AE24),"")</f>
        <v/>
      </c>
      <c r="AV24" s="86">
        <f>IF(AI24&lt;&gt;"",IF(AS24&lt;&gt;"","到貨","5次發包中"),IF(AH24&lt;&gt;"",IF(AR24&lt;&gt;"","到貨","4次發包中"),IF(AG24&lt;&gt;"",IF(AQ24&lt;&gt;"","到貨","3次發包中"),IF(AF24&lt;&gt;"",IF(AP24&lt;&gt;"","到貨","2次發包中"),IF(AE24&lt;&gt;"",IF(AO24&lt;&gt;"","到貨","發包中"),"")))))</f>
        <v/>
      </c>
      <c r="AW24" s="86">
        <f>IF(OR($AW$6=Y24),$AW$6,"")</f>
        <v/>
      </c>
      <c r="AX24" s="87">
        <f t="array" ref="AX24">IF(OR(AV24:AW24={"到貨","庫存"}),"完成","")</f>
        <v/>
      </c>
      <c r="AY24" s="92">
        <f>E24*$M$1</f>
        <v/>
      </c>
    </row>
    <row r="25" outlineLevel="1">
      <c r="A25" s="67" t="n">
        <v>20</v>
      </c>
      <c r="B25" s="526" t="n"/>
      <c r="C25" s="393" t="n"/>
      <c r="D25" s="427" t="n"/>
      <c r="E25" s="526" t="n"/>
      <c r="F25" s="526" t="n"/>
      <c r="G25" s="527" t="n"/>
      <c r="H25" s="393" t="n"/>
      <c r="I25" s="528" t="n"/>
      <c r="J25" s="528" t="n"/>
      <c r="K25" s="528" t="n"/>
      <c r="L25" s="529" t="n"/>
      <c r="M25" s="529" t="n"/>
      <c r="N25" s="530" t="n"/>
      <c r="O25" s="531" t="n"/>
      <c r="P25" s="527" t="n"/>
      <c r="Q25" s="528" t="n"/>
      <c r="R25" s="528" t="n"/>
      <c r="S25" s="528" t="n"/>
      <c r="T25" s="543" t="n"/>
      <c r="U25" s="534" t="n"/>
      <c r="V25" s="516" t="n"/>
      <c r="W25" s="535" t="n"/>
      <c r="X25" s="536" t="n"/>
      <c r="Y25" s="519" t="n"/>
      <c r="Z25" s="683" t="n"/>
      <c r="AA25" s="684" t="n"/>
      <c r="AB25" s="684" t="n"/>
      <c r="AC25" s="684" t="n"/>
      <c r="AD25" s="685" t="n"/>
      <c r="AE25" s="686" t="n"/>
      <c r="AF25" s="684" t="n"/>
      <c r="AG25" s="687" t="n"/>
      <c r="AH25" s="687" t="n"/>
      <c r="AI25" s="684" t="n"/>
      <c r="AJ25" s="686" t="n"/>
      <c r="AK25" s="687" t="n"/>
      <c r="AL25" s="687" t="n"/>
      <c r="AM25" s="687" t="n"/>
      <c r="AN25" s="688" t="n"/>
      <c r="AO25" s="686" t="n"/>
      <c r="AP25" s="689" t="n"/>
      <c r="AQ25" s="689" t="n"/>
      <c r="AR25" s="689" t="n"/>
      <c r="AS25" s="690" t="n"/>
      <c r="AT25" s="691">
        <f>IF(AJ25&lt;&gt;"",(IF(AV25="到貨","",(AJ25-TODAY()))),"")</f>
        <v/>
      </c>
      <c r="AU25" s="692">
        <f>IF(AO25&lt;&gt;"",(AO25-AE25),"")</f>
        <v/>
      </c>
      <c r="AV25" s="86">
        <f>IF(AI25&lt;&gt;"",IF(AS25&lt;&gt;"","到貨","5次發包中"),IF(AH25&lt;&gt;"",IF(AR25&lt;&gt;"","到貨","4次發包中"),IF(AG25&lt;&gt;"",IF(AQ25&lt;&gt;"","到貨","3次發包中"),IF(AF25&lt;&gt;"",IF(AP25&lt;&gt;"","到貨","2次發包中"),IF(AE25&lt;&gt;"",IF(AO25&lt;&gt;"","到貨","發包中"),"")))))</f>
        <v/>
      </c>
      <c r="AW25" s="86">
        <f>IF(OR($AW$6=Y25),$AW$6,"")</f>
        <v/>
      </c>
      <c r="AX25" s="87">
        <f t="array" ref="AX25">IF(OR(AV25:AW25={"到貨","庫存"}),"完成","")</f>
        <v/>
      </c>
      <c r="AY25" s="92">
        <f>E25*$M$1</f>
        <v/>
      </c>
    </row>
    <row r="26" outlineLevel="1">
      <c r="A26" s="67" t="n">
        <v>21</v>
      </c>
      <c r="B26" s="526" t="n"/>
      <c r="C26" s="393" t="n"/>
      <c r="D26" s="427" t="n"/>
      <c r="E26" s="526" t="n"/>
      <c r="F26" s="526" t="n"/>
      <c r="G26" s="527" t="n"/>
      <c r="H26" s="393" t="n"/>
      <c r="I26" s="528" t="n"/>
      <c r="J26" s="528" t="n"/>
      <c r="K26" s="528" t="n"/>
      <c r="L26" s="529" t="n"/>
      <c r="M26" s="529" t="n"/>
      <c r="N26" s="530" t="n"/>
      <c r="O26" s="531" t="n"/>
      <c r="P26" s="527" t="n"/>
      <c r="Q26" s="528" t="n"/>
      <c r="R26" s="528" t="n"/>
      <c r="S26" s="528" t="n"/>
      <c r="T26" s="543" t="n"/>
      <c r="U26" s="534" t="n"/>
      <c r="V26" s="516" t="n"/>
      <c r="W26" s="535" t="n"/>
      <c r="X26" s="536" t="n"/>
      <c r="Y26" s="519" t="n"/>
      <c r="Z26" s="683" t="n"/>
      <c r="AA26" s="684" t="n"/>
      <c r="AB26" s="684" t="n"/>
      <c r="AC26" s="684" t="n"/>
      <c r="AD26" s="685" t="n"/>
      <c r="AE26" s="686" t="n"/>
      <c r="AF26" s="684" t="n"/>
      <c r="AG26" s="687" t="n"/>
      <c r="AH26" s="687" t="n"/>
      <c r="AI26" s="684" t="n"/>
      <c r="AJ26" s="686" t="n"/>
      <c r="AK26" s="687" t="n"/>
      <c r="AL26" s="687" t="n"/>
      <c r="AM26" s="687" t="n"/>
      <c r="AN26" s="688" t="n"/>
      <c r="AO26" s="686" t="n"/>
      <c r="AP26" s="689" t="n"/>
      <c r="AQ26" s="689" t="n"/>
      <c r="AR26" s="689" t="n"/>
      <c r="AS26" s="690" t="n"/>
      <c r="AT26" s="691">
        <f>IF(AJ26&lt;&gt;"",(IF(AV26="到貨","",(AJ26-TODAY()))),"")</f>
        <v/>
      </c>
      <c r="AU26" s="692">
        <f>IF(AO26&lt;&gt;"",(AO26-AE26),"")</f>
        <v/>
      </c>
      <c r="AV26" s="86">
        <f>IF(AI26&lt;&gt;"",IF(AS26&lt;&gt;"","到貨","5次發包中"),IF(AH26&lt;&gt;"",IF(AR26&lt;&gt;"","到貨","4次發包中"),IF(AG26&lt;&gt;"",IF(AQ26&lt;&gt;"","到貨","3次發包中"),IF(AF26&lt;&gt;"",IF(AP26&lt;&gt;"","到貨","2次發包中"),IF(AE26&lt;&gt;"",IF(AO26&lt;&gt;"","到貨","發包中"),"")))))</f>
        <v/>
      </c>
      <c r="AW26" s="86">
        <f>IF(OR($AW$6=Y26),$AW$6,"")</f>
        <v/>
      </c>
      <c r="AX26" s="87">
        <f t="array" ref="AX26">IF(OR(AV26:AW26={"到貨","庫存"}),"完成","")</f>
        <v/>
      </c>
      <c r="AY26" s="92">
        <f>E26*$M$1</f>
        <v/>
      </c>
    </row>
    <row r="27" outlineLevel="1">
      <c r="A27" s="67" t="n">
        <v>22</v>
      </c>
      <c r="B27" s="526" t="n"/>
      <c r="C27" s="393" t="n"/>
      <c r="D27" s="427" t="n"/>
      <c r="E27" s="526" t="n"/>
      <c r="F27" s="526" t="n"/>
      <c r="G27" s="527" t="n"/>
      <c r="H27" s="393" t="n"/>
      <c r="I27" s="528" t="n"/>
      <c r="J27" s="528" t="n"/>
      <c r="K27" s="528" t="n"/>
      <c r="L27" s="529" t="n"/>
      <c r="M27" s="529" t="n"/>
      <c r="N27" s="530" t="n"/>
      <c r="O27" s="531" t="n"/>
      <c r="P27" s="527" t="n"/>
      <c r="Q27" s="528" t="n"/>
      <c r="R27" s="528" t="n"/>
      <c r="S27" s="528" t="n"/>
      <c r="T27" s="543" t="n"/>
      <c r="U27" s="534" t="n"/>
      <c r="V27" s="516" t="n"/>
      <c r="W27" s="535" t="n"/>
      <c r="X27" s="536" t="n"/>
      <c r="Y27" s="519" t="n"/>
      <c r="Z27" s="683" t="n"/>
      <c r="AA27" s="684" t="n"/>
      <c r="AB27" s="684" t="n"/>
      <c r="AC27" s="684" t="n"/>
      <c r="AD27" s="685" t="n"/>
      <c r="AE27" s="686" t="n"/>
      <c r="AF27" s="684" t="n"/>
      <c r="AG27" s="687" t="n"/>
      <c r="AH27" s="687" t="n"/>
      <c r="AI27" s="684" t="n"/>
      <c r="AJ27" s="686" t="n"/>
      <c r="AK27" s="687" t="n"/>
      <c r="AL27" s="687" t="n"/>
      <c r="AM27" s="687" t="n"/>
      <c r="AN27" s="688" t="n"/>
      <c r="AO27" s="686" t="n"/>
      <c r="AP27" s="689" t="n"/>
      <c r="AQ27" s="689" t="n"/>
      <c r="AR27" s="689" t="n"/>
      <c r="AS27" s="690" t="n"/>
      <c r="AT27" s="691">
        <f>IF(AJ27&lt;&gt;"",(IF(AV27="到貨","",(AJ27-TODAY()))),"")</f>
        <v/>
      </c>
      <c r="AU27" s="692">
        <f>IF(AO27&lt;&gt;"",(AO27-AE27),"")</f>
        <v/>
      </c>
      <c r="AV27" s="86">
        <f>IF(AI27&lt;&gt;"",IF(AS27&lt;&gt;"","到貨","5次發包中"),IF(AH27&lt;&gt;"",IF(AR27&lt;&gt;"","到貨","4次發包中"),IF(AG27&lt;&gt;"",IF(AQ27&lt;&gt;"","到貨","3次發包中"),IF(AF27&lt;&gt;"",IF(AP27&lt;&gt;"","到貨","2次發包中"),IF(AE27&lt;&gt;"",IF(AO27&lt;&gt;"","到貨","發包中"),"")))))</f>
        <v/>
      </c>
      <c r="AW27" s="86">
        <f>IF(OR($AW$6=Y27),$AW$6,"")</f>
        <v/>
      </c>
      <c r="AX27" s="87">
        <f t="array" ref="AX27">IF(OR(AV27:AW27={"到貨","庫存"}),"完成","")</f>
        <v/>
      </c>
      <c r="AY27" s="92">
        <f>E27*$M$1</f>
        <v/>
      </c>
    </row>
    <row r="28" outlineLevel="1">
      <c r="A28" s="67" t="n">
        <v>23</v>
      </c>
      <c r="B28" s="526" t="n"/>
      <c r="C28" s="393" t="n"/>
      <c r="D28" s="427" t="n"/>
      <c r="E28" s="526" t="n"/>
      <c r="F28" s="526" t="n"/>
      <c r="G28" s="527" t="n"/>
      <c r="H28" s="393" t="n"/>
      <c r="I28" s="528" t="n"/>
      <c r="J28" s="528" t="n"/>
      <c r="K28" s="528" t="n"/>
      <c r="L28" s="529" t="n"/>
      <c r="M28" s="529" t="n"/>
      <c r="N28" s="530" t="n"/>
      <c r="O28" s="531" t="n"/>
      <c r="P28" s="527" t="n"/>
      <c r="Q28" s="528" t="n"/>
      <c r="R28" s="528" t="n"/>
      <c r="S28" s="528" t="n"/>
      <c r="T28" s="543" t="n"/>
      <c r="U28" s="534" t="n"/>
      <c r="V28" s="516" t="n"/>
      <c r="W28" s="535" t="n"/>
      <c r="X28" s="536" t="n"/>
      <c r="Y28" s="519" t="n"/>
      <c r="Z28" s="683" t="n"/>
      <c r="AA28" s="684" t="n"/>
      <c r="AB28" s="684" t="n"/>
      <c r="AC28" s="684" t="n"/>
      <c r="AD28" s="685" t="n"/>
      <c r="AE28" s="686" t="n"/>
      <c r="AF28" s="684" t="n"/>
      <c r="AG28" s="687" t="n"/>
      <c r="AH28" s="687" t="n"/>
      <c r="AI28" s="684" t="n"/>
      <c r="AJ28" s="686" t="n"/>
      <c r="AK28" s="687" t="n"/>
      <c r="AL28" s="687" t="n"/>
      <c r="AM28" s="687" t="n"/>
      <c r="AN28" s="688" t="n"/>
      <c r="AO28" s="686" t="n"/>
      <c r="AP28" s="689" t="n"/>
      <c r="AQ28" s="689" t="n"/>
      <c r="AR28" s="689" t="n"/>
      <c r="AS28" s="690" t="n"/>
      <c r="AT28" s="691">
        <f>IF(AJ28&lt;&gt;"",(IF(AV28="到貨","",(AJ28-TODAY()))),"")</f>
        <v/>
      </c>
      <c r="AU28" s="692">
        <f>IF(AO28&lt;&gt;"",(AO28-AE28),"")</f>
        <v/>
      </c>
      <c r="AV28" s="86">
        <f>IF(AI28&lt;&gt;"",IF(AS28&lt;&gt;"","到貨","5次發包中"),IF(AH28&lt;&gt;"",IF(AR28&lt;&gt;"","到貨","4次發包中"),IF(AG28&lt;&gt;"",IF(AQ28&lt;&gt;"","到貨","3次發包中"),IF(AF28&lt;&gt;"",IF(AP28&lt;&gt;"","到貨","2次發包中"),IF(AE28&lt;&gt;"",IF(AO28&lt;&gt;"","到貨","發包中"),"")))))</f>
        <v/>
      </c>
      <c r="AW28" s="86">
        <f>IF(OR($AW$6=Y28),$AW$6,"")</f>
        <v/>
      </c>
      <c r="AX28" s="87">
        <f t="array" ref="AX28">IF(OR(AV28:AW28={"到貨","庫存"}),"完成","")</f>
        <v/>
      </c>
      <c r="AY28" s="92">
        <f>E28*$M$1</f>
        <v/>
      </c>
    </row>
    <row r="29" outlineLevel="1">
      <c r="A29" s="67" t="n">
        <v>24</v>
      </c>
      <c r="B29" s="526" t="n"/>
      <c r="C29" s="393" t="n"/>
      <c r="D29" s="427" t="n"/>
      <c r="E29" s="526" t="n"/>
      <c r="F29" s="526" t="n"/>
      <c r="G29" s="527" t="n"/>
      <c r="H29" s="393" t="n"/>
      <c r="I29" s="528" t="n"/>
      <c r="J29" s="528" t="n"/>
      <c r="K29" s="528" t="n"/>
      <c r="L29" s="529" t="n"/>
      <c r="M29" s="529" t="n"/>
      <c r="N29" s="530" t="n"/>
      <c r="O29" s="531" t="n"/>
      <c r="P29" s="527" t="n"/>
      <c r="Q29" s="528" t="n"/>
      <c r="R29" s="528" t="n"/>
      <c r="S29" s="528" t="n"/>
      <c r="T29" s="543" t="n"/>
      <c r="U29" s="534" t="n"/>
      <c r="V29" s="516" t="n"/>
      <c r="W29" s="535" t="n"/>
      <c r="X29" s="536" t="n"/>
      <c r="Y29" s="519" t="n"/>
      <c r="Z29" s="683" t="n"/>
      <c r="AA29" s="684" t="n"/>
      <c r="AB29" s="684" t="n"/>
      <c r="AC29" s="684" t="n"/>
      <c r="AD29" s="685" t="n"/>
      <c r="AE29" s="686" t="n"/>
      <c r="AF29" s="684" t="n"/>
      <c r="AG29" s="687" t="n"/>
      <c r="AH29" s="687" t="n"/>
      <c r="AI29" s="684" t="n"/>
      <c r="AJ29" s="686" t="n"/>
      <c r="AK29" s="687" t="n"/>
      <c r="AL29" s="687" t="n"/>
      <c r="AM29" s="687" t="n"/>
      <c r="AN29" s="688" t="n"/>
      <c r="AO29" s="686" t="n"/>
      <c r="AP29" s="689" t="n"/>
      <c r="AQ29" s="689" t="n"/>
      <c r="AR29" s="689" t="n"/>
      <c r="AS29" s="690" t="n"/>
      <c r="AT29" s="691">
        <f>IF(AJ29&lt;&gt;"",(IF(AV29="到貨","",(AJ29-TODAY()))),"")</f>
        <v/>
      </c>
      <c r="AU29" s="692">
        <f>IF(AO29&lt;&gt;"",(AO29-AE29),"")</f>
        <v/>
      </c>
      <c r="AV29" s="86">
        <f>IF(AI29&lt;&gt;"",IF(AS29&lt;&gt;"","到貨","5次發包中"),IF(AH29&lt;&gt;"",IF(AR29&lt;&gt;"","到貨","4次發包中"),IF(AG29&lt;&gt;"",IF(AQ29&lt;&gt;"","到貨","3次發包中"),IF(AF29&lt;&gt;"",IF(AP29&lt;&gt;"","到貨","2次發包中"),IF(AE29&lt;&gt;"",IF(AO29&lt;&gt;"","到貨","發包中"),"")))))</f>
        <v/>
      </c>
      <c r="AW29" s="86">
        <f>IF(OR($AW$6=Y29),$AW$6,"")</f>
        <v/>
      </c>
      <c r="AX29" s="87">
        <f t="array" ref="AX29">IF(OR(AV29:AW29={"到貨","庫存"}),"完成","")</f>
        <v/>
      </c>
      <c r="AY29" s="92">
        <f>E29*$M$1</f>
        <v/>
      </c>
    </row>
    <row r="30" outlineLevel="1">
      <c r="A30" s="67" t="n">
        <v>25</v>
      </c>
      <c r="B30" s="526" t="n"/>
      <c r="C30" s="393" t="n"/>
      <c r="D30" s="427" t="n"/>
      <c r="E30" s="526" t="n"/>
      <c r="F30" s="526" t="n"/>
      <c r="G30" s="527" t="n"/>
      <c r="H30" s="393" t="n"/>
      <c r="I30" s="528" t="n"/>
      <c r="J30" s="528" t="n"/>
      <c r="K30" s="528" t="n"/>
      <c r="L30" s="529" t="n"/>
      <c r="M30" s="529" t="n"/>
      <c r="N30" s="530" t="n"/>
      <c r="O30" s="531" t="n"/>
      <c r="P30" s="527" t="n"/>
      <c r="Q30" s="528" t="n"/>
      <c r="R30" s="528" t="n"/>
      <c r="S30" s="528" t="n"/>
      <c r="T30" s="543" t="n"/>
      <c r="U30" s="534" t="n"/>
      <c r="V30" s="516" t="n"/>
      <c r="W30" s="535" t="n"/>
      <c r="X30" s="536" t="n"/>
      <c r="Y30" s="519" t="n"/>
      <c r="Z30" s="683" t="n"/>
      <c r="AA30" s="684" t="n"/>
      <c r="AB30" s="684" t="n"/>
      <c r="AC30" s="684" t="n"/>
      <c r="AD30" s="685" t="n"/>
      <c r="AE30" s="686" t="n"/>
      <c r="AF30" s="684" t="n"/>
      <c r="AG30" s="687" t="n"/>
      <c r="AH30" s="687" t="n"/>
      <c r="AI30" s="684" t="n"/>
      <c r="AJ30" s="686" t="n"/>
      <c r="AK30" s="687" t="n"/>
      <c r="AL30" s="687" t="n"/>
      <c r="AM30" s="687" t="n"/>
      <c r="AN30" s="688" t="n"/>
      <c r="AO30" s="686" t="n"/>
      <c r="AP30" s="689" t="n"/>
      <c r="AQ30" s="689" t="n"/>
      <c r="AR30" s="689" t="n"/>
      <c r="AS30" s="690" t="n"/>
      <c r="AT30" s="691">
        <f>IF(AJ30&lt;&gt;"",(IF(AV30="到貨","",(AJ30-TODAY()))),"")</f>
        <v/>
      </c>
      <c r="AU30" s="692">
        <f>IF(AO30&lt;&gt;"",(AO30-AE30),"")</f>
        <v/>
      </c>
      <c r="AV30" s="86">
        <f>IF(AI30&lt;&gt;"",IF(AS30&lt;&gt;"","到貨","5次發包中"),IF(AH30&lt;&gt;"",IF(AR30&lt;&gt;"","到貨","4次發包中"),IF(AG30&lt;&gt;"",IF(AQ30&lt;&gt;"","到貨","3次發包中"),IF(AF30&lt;&gt;"",IF(AP30&lt;&gt;"","到貨","2次發包中"),IF(AE30&lt;&gt;"",IF(AO30&lt;&gt;"","到貨","發包中"),"")))))</f>
        <v/>
      </c>
      <c r="AW30" s="86">
        <f>IF(OR($AW$6=Y30),$AW$6,"")</f>
        <v/>
      </c>
      <c r="AX30" s="87">
        <f t="array" ref="AX30">IF(OR(AV30:AW30={"到貨","庫存"}),"完成","")</f>
        <v/>
      </c>
      <c r="AY30" s="92">
        <f>E30*$M$1</f>
        <v/>
      </c>
    </row>
    <row r="31" outlineLevel="1">
      <c r="A31" s="67" t="n">
        <v>26</v>
      </c>
      <c r="B31" s="526" t="n"/>
      <c r="C31" s="393" t="n"/>
      <c r="D31" s="427" t="n"/>
      <c r="E31" s="526" t="n"/>
      <c r="F31" s="526" t="n"/>
      <c r="G31" s="527" t="n"/>
      <c r="H31" s="393" t="n"/>
      <c r="I31" s="528" t="n"/>
      <c r="J31" s="528" t="n"/>
      <c r="K31" s="528" t="n"/>
      <c r="L31" s="529" t="n"/>
      <c r="M31" s="529" t="n"/>
      <c r="N31" s="530" t="n"/>
      <c r="O31" s="531" t="n"/>
      <c r="P31" s="527" t="n"/>
      <c r="Q31" s="528" t="n"/>
      <c r="R31" s="528" t="n"/>
      <c r="S31" s="528" t="n"/>
      <c r="T31" s="543" t="n"/>
      <c r="U31" s="534" t="n"/>
      <c r="V31" s="516" t="n"/>
      <c r="W31" s="535" t="n"/>
      <c r="X31" s="536" t="n"/>
      <c r="Y31" s="519" t="n"/>
      <c r="Z31" s="683" t="n"/>
      <c r="AA31" s="684" t="n"/>
      <c r="AB31" s="684" t="n"/>
      <c r="AC31" s="684" t="n"/>
      <c r="AD31" s="685" t="n"/>
      <c r="AE31" s="686" t="n"/>
      <c r="AF31" s="684" t="n"/>
      <c r="AG31" s="687" t="n"/>
      <c r="AH31" s="687" t="n"/>
      <c r="AI31" s="684" t="n"/>
      <c r="AJ31" s="686" t="n"/>
      <c r="AK31" s="687" t="n"/>
      <c r="AL31" s="687" t="n"/>
      <c r="AM31" s="687" t="n"/>
      <c r="AN31" s="688" t="n"/>
      <c r="AO31" s="686" t="n"/>
      <c r="AP31" s="689" t="n"/>
      <c r="AQ31" s="689" t="n"/>
      <c r="AR31" s="689" t="n"/>
      <c r="AS31" s="690" t="n"/>
      <c r="AT31" s="691">
        <f>IF(AJ31&lt;&gt;"",(IF(AV31="到貨","",(AJ31-TODAY()))),"")</f>
        <v/>
      </c>
      <c r="AU31" s="692">
        <f>IF(AO31&lt;&gt;"",(AO31-AE31),"")</f>
        <v/>
      </c>
      <c r="AV31" s="86">
        <f>IF(AI31&lt;&gt;"",IF(AS31&lt;&gt;"","到貨","5次發包中"),IF(AH31&lt;&gt;"",IF(AR31&lt;&gt;"","到貨","4次發包中"),IF(AG31&lt;&gt;"",IF(AQ31&lt;&gt;"","到貨","3次發包中"),IF(AF31&lt;&gt;"",IF(AP31&lt;&gt;"","到貨","2次發包中"),IF(AE31&lt;&gt;"",IF(AO31&lt;&gt;"","到貨","發包中"),"")))))</f>
        <v/>
      </c>
      <c r="AW31" s="86">
        <f>IF(OR($AW$6=Y31),$AW$6,"")</f>
        <v/>
      </c>
      <c r="AX31" s="87">
        <f t="array" ref="AX31">IF(OR(AV31:AW31={"到貨","庫存"}),"完成","")</f>
        <v/>
      </c>
      <c r="AY31" s="92">
        <f>E31*$M$1</f>
        <v/>
      </c>
    </row>
    <row r="32" outlineLevel="1">
      <c r="A32" s="67" t="n">
        <v>27</v>
      </c>
      <c r="B32" s="526" t="n"/>
      <c r="C32" s="393" t="n"/>
      <c r="D32" s="427" t="n"/>
      <c r="E32" s="526" t="n"/>
      <c r="F32" s="526" t="n"/>
      <c r="G32" s="527" t="n"/>
      <c r="H32" s="393" t="n"/>
      <c r="I32" s="528" t="n"/>
      <c r="J32" s="528" t="n"/>
      <c r="K32" s="528" t="n"/>
      <c r="L32" s="529" t="n"/>
      <c r="M32" s="529" t="n"/>
      <c r="N32" s="530" t="n"/>
      <c r="O32" s="531" t="n"/>
      <c r="P32" s="527" t="n"/>
      <c r="Q32" s="528" t="n"/>
      <c r="R32" s="528" t="n"/>
      <c r="S32" s="528" t="n"/>
      <c r="T32" s="543" t="n"/>
      <c r="U32" s="534" t="n"/>
      <c r="V32" s="516" t="n"/>
      <c r="W32" s="535" t="n"/>
      <c r="X32" s="536" t="n"/>
      <c r="Y32" s="519" t="n"/>
      <c r="Z32" s="683" t="n"/>
      <c r="AA32" s="684" t="n"/>
      <c r="AB32" s="684" t="n"/>
      <c r="AC32" s="684" t="n"/>
      <c r="AD32" s="685" t="n"/>
      <c r="AE32" s="686" t="n"/>
      <c r="AF32" s="684" t="n"/>
      <c r="AG32" s="687" t="n"/>
      <c r="AH32" s="687" t="n"/>
      <c r="AI32" s="684" t="n"/>
      <c r="AJ32" s="686" t="n"/>
      <c r="AK32" s="687" t="n"/>
      <c r="AL32" s="687" t="n"/>
      <c r="AM32" s="687" t="n"/>
      <c r="AN32" s="688" t="n"/>
      <c r="AO32" s="686" t="n"/>
      <c r="AP32" s="689" t="n"/>
      <c r="AQ32" s="689" t="n"/>
      <c r="AR32" s="689" t="n"/>
      <c r="AS32" s="690" t="n"/>
      <c r="AT32" s="691">
        <f>IF(AJ32&lt;&gt;"",(IF(AV32="到貨","",(AJ32-TODAY()))),"")</f>
        <v/>
      </c>
      <c r="AU32" s="692">
        <f>IF(AO32&lt;&gt;"",(AO32-AE32),"")</f>
        <v/>
      </c>
      <c r="AV32" s="86">
        <f>IF(AI32&lt;&gt;"",IF(AS32&lt;&gt;"","到貨","5次發包中"),IF(AH32&lt;&gt;"",IF(AR32&lt;&gt;"","到貨","4次發包中"),IF(AG32&lt;&gt;"",IF(AQ32&lt;&gt;"","到貨","3次發包中"),IF(AF32&lt;&gt;"",IF(AP32&lt;&gt;"","到貨","2次發包中"),IF(AE32&lt;&gt;"",IF(AO32&lt;&gt;"","到貨","發包中"),"")))))</f>
        <v/>
      </c>
      <c r="AW32" s="86">
        <f>IF(OR($AW$6=Y32),$AW$6,"")</f>
        <v/>
      </c>
      <c r="AX32" s="87">
        <f t="array" ref="AX32">IF(OR(AV32:AW32={"到貨","庫存"}),"完成","")</f>
        <v/>
      </c>
      <c r="AY32" s="92">
        <f>E32*$M$1</f>
        <v/>
      </c>
    </row>
    <row r="33" outlineLevel="1">
      <c r="A33" s="67" t="n">
        <v>28</v>
      </c>
      <c r="B33" s="526" t="n"/>
      <c r="C33" s="393" t="n"/>
      <c r="D33" s="427" t="n"/>
      <c r="E33" s="526" t="n"/>
      <c r="F33" s="526" t="n"/>
      <c r="G33" s="527" t="n"/>
      <c r="H33" s="393" t="n"/>
      <c r="I33" s="528" t="n"/>
      <c r="J33" s="528" t="n"/>
      <c r="K33" s="528" t="n"/>
      <c r="L33" s="529" t="n"/>
      <c r="M33" s="529" t="n"/>
      <c r="N33" s="530" t="n"/>
      <c r="O33" s="531" t="n"/>
      <c r="P33" s="527" t="n"/>
      <c r="Q33" s="528" t="n"/>
      <c r="R33" s="528" t="n"/>
      <c r="S33" s="528" t="n"/>
      <c r="T33" s="543" t="n"/>
      <c r="U33" s="534" t="n"/>
      <c r="V33" s="516" t="n"/>
      <c r="W33" s="535" t="n"/>
      <c r="X33" s="536" t="n"/>
      <c r="Y33" s="519" t="n"/>
      <c r="Z33" s="683" t="n"/>
      <c r="AA33" s="684" t="n"/>
      <c r="AB33" s="684" t="n"/>
      <c r="AC33" s="684" t="n"/>
      <c r="AD33" s="685" t="n"/>
      <c r="AE33" s="686" t="n"/>
      <c r="AF33" s="684" t="n"/>
      <c r="AG33" s="687" t="n"/>
      <c r="AH33" s="687" t="n"/>
      <c r="AI33" s="684" t="n"/>
      <c r="AJ33" s="686" t="n"/>
      <c r="AK33" s="687" t="n"/>
      <c r="AL33" s="687" t="n"/>
      <c r="AM33" s="687" t="n"/>
      <c r="AN33" s="688" t="n"/>
      <c r="AO33" s="686" t="n"/>
      <c r="AP33" s="689" t="n"/>
      <c r="AQ33" s="689" t="n"/>
      <c r="AR33" s="689" t="n"/>
      <c r="AS33" s="690" t="n"/>
      <c r="AT33" s="691">
        <f>IF(AJ33&lt;&gt;"",(IF(AV33="到貨","",(AJ33-TODAY()))),"")</f>
        <v/>
      </c>
      <c r="AU33" s="692">
        <f>IF(AO33&lt;&gt;"",(AO33-AE33),"")</f>
        <v/>
      </c>
      <c r="AV33" s="86">
        <f>IF(AI33&lt;&gt;"",IF(AS33&lt;&gt;"","到貨","5次發包中"),IF(AH33&lt;&gt;"",IF(AR33&lt;&gt;"","到貨","4次發包中"),IF(AG33&lt;&gt;"",IF(AQ33&lt;&gt;"","到貨","3次發包中"),IF(AF33&lt;&gt;"",IF(AP33&lt;&gt;"","到貨","2次發包中"),IF(AE33&lt;&gt;"",IF(AO33&lt;&gt;"","到貨","發包中"),"")))))</f>
        <v/>
      </c>
      <c r="AW33" s="86">
        <f>IF(OR($AW$6=Y33),$AW$6,"")</f>
        <v/>
      </c>
      <c r="AX33" s="87">
        <f t="array" ref="AX33">IF(OR(AV33:AW33={"到貨","庫存"}),"完成","")</f>
        <v/>
      </c>
      <c r="AY33" s="92">
        <f>E33*$M$1</f>
        <v/>
      </c>
    </row>
    <row r="34" outlineLevel="1">
      <c r="A34" s="67" t="n">
        <v>29</v>
      </c>
      <c r="B34" s="526" t="n"/>
      <c r="C34" s="393" t="n"/>
      <c r="D34" s="427" t="n"/>
      <c r="E34" s="526" t="n"/>
      <c r="F34" s="526" t="n"/>
      <c r="G34" s="527" t="n"/>
      <c r="H34" s="393" t="n"/>
      <c r="I34" s="528" t="n"/>
      <c r="J34" s="528" t="n"/>
      <c r="K34" s="528" t="n"/>
      <c r="L34" s="529" t="n"/>
      <c r="M34" s="529" t="n"/>
      <c r="N34" s="530" t="n"/>
      <c r="O34" s="531" t="n"/>
      <c r="P34" s="527" t="n"/>
      <c r="Q34" s="528" t="n"/>
      <c r="R34" s="528" t="n"/>
      <c r="S34" s="528" t="n"/>
      <c r="T34" s="543" t="n"/>
      <c r="U34" s="534" t="n"/>
      <c r="V34" s="516" t="n"/>
      <c r="W34" s="535" t="n"/>
      <c r="X34" s="536" t="n"/>
      <c r="Y34" s="519" t="n"/>
      <c r="Z34" s="683" t="n"/>
      <c r="AA34" s="684" t="n"/>
      <c r="AB34" s="684" t="n"/>
      <c r="AC34" s="684" t="n"/>
      <c r="AD34" s="685" t="n"/>
      <c r="AE34" s="686" t="n"/>
      <c r="AF34" s="684" t="n"/>
      <c r="AG34" s="687" t="n"/>
      <c r="AH34" s="687" t="n"/>
      <c r="AI34" s="684" t="n"/>
      <c r="AJ34" s="686" t="n"/>
      <c r="AK34" s="687" t="n"/>
      <c r="AL34" s="687" t="n"/>
      <c r="AM34" s="687" t="n"/>
      <c r="AN34" s="688" t="n"/>
      <c r="AO34" s="686" t="n"/>
      <c r="AP34" s="689" t="n"/>
      <c r="AQ34" s="689" t="n"/>
      <c r="AR34" s="689" t="n"/>
      <c r="AS34" s="690" t="n"/>
      <c r="AT34" s="691">
        <f>IF(AJ34&lt;&gt;"",(IF(AV34="到貨","",(AJ34-TODAY()))),"")</f>
        <v/>
      </c>
      <c r="AU34" s="692">
        <f>IF(AO34&lt;&gt;"",(AO34-AE34),"")</f>
        <v/>
      </c>
      <c r="AV34" s="86">
        <f>IF(AI34&lt;&gt;"",IF(AS34&lt;&gt;"","到貨","5次發包中"),IF(AH34&lt;&gt;"",IF(AR34&lt;&gt;"","到貨","4次發包中"),IF(AG34&lt;&gt;"",IF(AQ34&lt;&gt;"","到貨","3次發包中"),IF(AF34&lt;&gt;"",IF(AP34&lt;&gt;"","到貨","2次發包中"),IF(AE34&lt;&gt;"",IF(AO34&lt;&gt;"","到貨","發包中"),"")))))</f>
        <v/>
      </c>
      <c r="AW34" s="86">
        <f>IF(OR($AW$6=Y34),$AW$6,"")</f>
        <v/>
      </c>
      <c r="AX34" s="87">
        <f t="array" ref="AX34">IF(OR(AV34:AW34={"到貨","庫存"}),"完成","")</f>
        <v/>
      </c>
      <c r="AY34" s="92">
        <f>E34*$M$1</f>
        <v/>
      </c>
    </row>
    <row r="35" outlineLevel="1">
      <c r="A35" s="67" t="n">
        <v>30</v>
      </c>
      <c r="B35" s="526" t="n"/>
      <c r="C35" s="393" t="n"/>
      <c r="D35" s="427" t="n"/>
      <c r="E35" s="526" t="n"/>
      <c r="F35" s="526" t="n"/>
      <c r="G35" s="527" t="n"/>
      <c r="H35" s="393" t="n"/>
      <c r="I35" s="528" t="n"/>
      <c r="J35" s="528" t="n"/>
      <c r="K35" s="528" t="n"/>
      <c r="L35" s="529" t="n"/>
      <c r="M35" s="529" t="n"/>
      <c r="N35" s="530" t="n"/>
      <c r="O35" s="531" t="n"/>
      <c r="P35" s="527" t="n"/>
      <c r="Q35" s="528" t="n"/>
      <c r="R35" s="528" t="n"/>
      <c r="S35" s="528" t="n"/>
      <c r="T35" s="543" t="n"/>
      <c r="U35" s="534" t="n"/>
      <c r="V35" s="516" t="n"/>
      <c r="W35" s="535" t="n"/>
      <c r="X35" s="536" t="n"/>
      <c r="Y35" s="519" t="n"/>
      <c r="Z35" s="683" t="n"/>
      <c r="AA35" s="684" t="n"/>
      <c r="AB35" s="684" t="n"/>
      <c r="AC35" s="684" t="n"/>
      <c r="AD35" s="685" t="n"/>
      <c r="AE35" s="686" t="n"/>
      <c r="AF35" s="684" t="n"/>
      <c r="AG35" s="687" t="n"/>
      <c r="AH35" s="687" t="n"/>
      <c r="AI35" s="684" t="n"/>
      <c r="AJ35" s="686" t="n"/>
      <c r="AK35" s="687" t="n"/>
      <c r="AL35" s="687" t="n"/>
      <c r="AM35" s="687" t="n"/>
      <c r="AN35" s="688" t="n"/>
      <c r="AO35" s="686" t="n"/>
      <c r="AP35" s="689" t="n"/>
      <c r="AQ35" s="689" t="n"/>
      <c r="AR35" s="689" t="n"/>
      <c r="AS35" s="690" t="n"/>
      <c r="AT35" s="691">
        <f>IF(AJ35&lt;&gt;"",(IF(AV35="到貨","",(AJ35-TODAY()))),"")</f>
        <v/>
      </c>
      <c r="AU35" s="692">
        <f>IF(AO35&lt;&gt;"",(AO35-AE35),"")</f>
        <v/>
      </c>
      <c r="AV35" s="86">
        <f>IF(AI35&lt;&gt;"",IF(AS35&lt;&gt;"","到貨","5次發包中"),IF(AH35&lt;&gt;"",IF(AR35&lt;&gt;"","到貨","4次發包中"),IF(AG35&lt;&gt;"",IF(AQ35&lt;&gt;"","到貨","3次發包中"),IF(AF35&lt;&gt;"",IF(AP35&lt;&gt;"","到貨","2次發包中"),IF(AE35&lt;&gt;"",IF(AO35&lt;&gt;"","到貨","發包中"),"")))))</f>
        <v/>
      </c>
      <c r="AW35" s="86">
        <f>IF(OR($AW$6=Y35),$AW$6,"")</f>
        <v/>
      </c>
      <c r="AX35" s="87">
        <f t="array" ref="AX35">IF(OR(AV35:AW35={"到貨","庫存"}),"完成","")</f>
        <v/>
      </c>
      <c r="AY35" s="92">
        <f>E35*$M$1</f>
        <v/>
      </c>
    </row>
    <row r="36" outlineLevel="1">
      <c r="A36" s="67" t="n">
        <v>31</v>
      </c>
      <c r="B36" s="526" t="n"/>
      <c r="C36" s="393" t="n"/>
      <c r="D36" s="427" t="n"/>
      <c r="E36" s="526" t="n"/>
      <c r="F36" s="526" t="n"/>
      <c r="G36" s="527" t="n"/>
      <c r="H36" s="393" t="n"/>
      <c r="I36" s="528" t="n"/>
      <c r="J36" s="528" t="n"/>
      <c r="K36" s="528" t="n"/>
      <c r="L36" s="529" t="n"/>
      <c r="M36" s="529" t="n"/>
      <c r="N36" s="530" t="n"/>
      <c r="O36" s="531" t="n"/>
      <c r="P36" s="527" t="n"/>
      <c r="Q36" s="528" t="n"/>
      <c r="R36" s="528" t="n"/>
      <c r="S36" s="528" t="n"/>
      <c r="T36" s="543" t="n"/>
      <c r="U36" s="534" t="n"/>
      <c r="V36" s="516" t="n"/>
      <c r="W36" s="535" t="n"/>
      <c r="X36" s="536" t="n"/>
      <c r="Y36" s="519" t="n"/>
      <c r="Z36" s="683" t="n"/>
      <c r="AA36" s="684" t="n"/>
      <c r="AB36" s="684" t="n"/>
      <c r="AC36" s="684" t="n"/>
      <c r="AD36" s="685" t="n"/>
      <c r="AE36" s="686" t="n"/>
      <c r="AF36" s="684" t="n"/>
      <c r="AG36" s="687" t="n"/>
      <c r="AH36" s="687" t="n"/>
      <c r="AI36" s="684" t="n"/>
      <c r="AJ36" s="686" t="n"/>
      <c r="AK36" s="687" t="n"/>
      <c r="AL36" s="687" t="n"/>
      <c r="AM36" s="687" t="n"/>
      <c r="AN36" s="688" t="n"/>
      <c r="AO36" s="686" t="n"/>
      <c r="AP36" s="689" t="n"/>
      <c r="AQ36" s="689" t="n"/>
      <c r="AR36" s="689" t="n"/>
      <c r="AS36" s="690" t="n"/>
      <c r="AT36" s="691">
        <f>IF(AJ36&lt;&gt;"",(IF(AV36="到貨","",(AJ36-TODAY()))),"")</f>
        <v/>
      </c>
      <c r="AU36" s="692">
        <f>IF(AO36&lt;&gt;"",(AO36-AE36),"")</f>
        <v/>
      </c>
      <c r="AV36" s="86">
        <f>IF(AI36&lt;&gt;"",IF(AS36&lt;&gt;"","到貨","5次發包中"),IF(AH36&lt;&gt;"",IF(AR36&lt;&gt;"","到貨","4次發包中"),IF(AG36&lt;&gt;"",IF(AQ36&lt;&gt;"","到貨","3次發包中"),IF(AF36&lt;&gt;"",IF(AP36&lt;&gt;"","到貨","2次發包中"),IF(AE36&lt;&gt;"",IF(AO36&lt;&gt;"","到貨","發包中"),"")))))</f>
        <v/>
      </c>
      <c r="AW36" s="86">
        <f>IF(OR($AW$6=Y36),$AW$6,"")</f>
        <v/>
      </c>
      <c r="AX36" s="87">
        <f t="array" ref="AX36">IF(OR(AV36:AW36={"到貨","庫存"}),"完成","")</f>
        <v/>
      </c>
      <c r="AY36" s="92">
        <f>E36*$M$1</f>
        <v/>
      </c>
    </row>
    <row r="37" outlineLevel="1">
      <c r="A37" s="67" t="n">
        <v>32</v>
      </c>
      <c r="B37" s="526" t="n"/>
      <c r="C37" s="393" t="n"/>
      <c r="D37" s="427" t="n"/>
      <c r="E37" s="526" t="n"/>
      <c r="F37" s="526" t="n"/>
      <c r="G37" s="527" t="n"/>
      <c r="H37" s="393" t="n"/>
      <c r="I37" s="528" t="n"/>
      <c r="J37" s="528" t="n"/>
      <c r="K37" s="528" t="n"/>
      <c r="L37" s="529" t="n"/>
      <c r="M37" s="529" t="n"/>
      <c r="N37" s="530" t="n"/>
      <c r="O37" s="531" t="n"/>
      <c r="P37" s="527" t="n"/>
      <c r="Q37" s="528" t="n"/>
      <c r="R37" s="528" t="n"/>
      <c r="S37" s="528" t="n"/>
      <c r="T37" s="543" t="n"/>
      <c r="U37" s="534" t="n"/>
      <c r="V37" s="516" t="n"/>
      <c r="W37" s="535" t="n"/>
      <c r="X37" s="536" t="n"/>
      <c r="Y37" s="519" t="n"/>
      <c r="Z37" s="683" t="n"/>
      <c r="AA37" s="684" t="n"/>
      <c r="AB37" s="684" t="n"/>
      <c r="AC37" s="684" t="n"/>
      <c r="AD37" s="685" t="n"/>
      <c r="AE37" s="686" t="n"/>
      <c r="AF37" s="684" t="n"/>
      <c r="AG37" s="687" t="n"/>
      <c r="AH37" s="687" t="n"/>
      <c r="AI37" s="684" t="n"/>
      <c r="AJ37" s="686" t="n"/>
      <c r="AK37" s="687" t="n"/>
      <c r="AL37" s="687" t="n"/>
      <c r="AM37" s="687" t="n"/>
      <c r="AN37" s="688" t="n"/>
      <c r="AO37" s="686" t="n"/>
      <c r="AP37" s="689" t="n"/>
      <c r="AQ37" s="689" t="n"/>
      <c r="AR37" s="689" t="n"/>
      <c r="AS37" s="690" t="n"/>
      <c r="AT37" s="691">
        <f>IF(AJ37&lt;&gt;"",(IF(AV37="到貨","",(AJ37-TODAY()))),"")</f>
        <v/>
      </c>
      <c r="AU37" s="692">
        <f>IF(AO37&lt;&gt;"",(AO37-AE37),"")</f>
        <v/>
      </c>
      <c r="AV37" s="86">
        <f>IF(AI37&lt;&gt;"",IF(AS37&lt;&gt;"","到貨","5次發包中"),IF(AH37&lt;&gt;"",IF(AR37&lt;&gt;"","到貨","4次發包中"),IF(AG37&lt;&gt;"",IF(AQ37&lt;&gt;"","到貨","3次發包中"),IF(AF37&lt;&gt;"",IF(AP37&lt;&gt;"","到貨","2次發包中"),IF(AE37&lt;&gt;"",IF(AO37&lt;&gt;"","到貨","發包中"),"")))))</f>
        <v/>
      </c>
      <c r="AW37" s="86">
        <f>IF(OR($AW$6=Y37),$AW$6,"")</f>
        <v/>
      </c>
      <c r="AX37" s="87">
        <f t="array" ref="AX37">IF(OR(AV37:AW37={"到貨","庫存"}),"完成","")</f>
        <v/>
      </c>
      <c r="AY37" s="92">
        <f>E37*$M$1</f>
        <v/>
      </c>
    </row>
    <row r="38" outlineLevel="1">
      <c r="A38" s="67" t="n">
        <v>33</v>
      </c>
      <c r="B38" s="526" t="n"/>
      <c r="C38" s="393" t="n"/>
      <c r="D38" s="427" t="n"/>
      <c r="E38" s="526" t="n"/>
      <c r="F38" s="526" t="n"/>
      <c r="G38" s="527" t="n"/>
      <c r="H38" s="393" t="n"/>
      <c r="I38" s="528" t="n"/>
      <c r="J38" s="528" t="n"/>
      <c r="K38" s="528" t="n"/>
      <c r="L38" s="529" t="n"/>
      <c r="M38" s="529" t="n"/>
      <c r="N38" s="530" t="n"/>
      <c r="O38" s="531" t="n"/>
      <c r="P38" s="527" t="n"/>
      <c r="Q38" s="528" t="n"/>
      <c r="R38" s="528" t="n"/>
      <c r="S38" s="528" t="n"/>
      <c r="T38" s="543" t="n"/>
      <c r="U38" s="534" t="n"/>
      <c r="V38" s="516" t="n"/>
      <c r="W38" s="535" t="n"/>
      <c r="X38" s="536" t="n"/>
      <c r="Y38" s="519" t="n"/>
      <c r="Z38" s="683" t="n"/>
      <c r="AA38" s="684" t="n"/>
      <c r="AB38" s="684" t="n"/>
      <c r="AC38" s="684" t="n"/>
      <c r="AD38" s="685" t="n"/>
      <c r="AE38" s="686" t="n"/>
      <c r="AF38" s="684" t="n"/>
      <c r="AG38" s="687" t="n"/>
      <c r="AH38" s="687" t="n"/>
      <c r="AI38" s="684" t="n"/>
      <c r="AJ38" s="686" t="n"/>
      <c r="AK38" s="687" t="n"/>
      <c r="AL38" s="687" t="n"/>
      <c r="AM38" s="687" t="n"/>
      <c r="AN38" s="688" t="n"/>
      <c r="AO38" s="686" t="n"/>
      <c r="AP38" s="689" t="n"/>
      <c r="AQ38" s="689" t="n"/>
      <c r="AR38" s="689" t="n"/>
      <c r="AS38" s="690" t="n"/>
      <c r="AT38" s="691">
        <f>IF(AJ38&lt;&gt;"",(IF(AV38="到貨","",(AJ38-TODAY()))),"")</f>
        <v/>
      </c>
      <c r="AU38" s="692">
        <f>IF(AO38&lt;&gt;"",(AO38-AE38),"")</f>
        <v/>
      </c>
      <c r="AV38" s="86">
        <f>IF(AI38&lt;&gt;"",IF(AS38&lt;&gt;"","到貨","5次發包中"),IF(AH38&lt;&gt;"",IF(AR38&lt;&gt;"","到貨","4次發包中"),IF(AG38&lt;&gt;"",IF(AQ38&lt;&gt;"","到貨","3次發包中"),IF(AF38&lt;&gt;"",IF(AP38&lt;&gt;"","到貨","2次發包中"),IF(AE38&lt;&gt;"",IF(AO38&lt;&gt;"","到貨","發包中"),"")))))</f>
        <v/>
      </c>
      <c r="AW38" s="86">
        <f>IF(OR($AW$6=Y38),$AW$6,"")</f>
        <v/>
      </c>
      <c r="AX38" s="87">
        <f t="array" ref="AX38">IF(OR(AV38:AW38={"到貨","庫存"}),"完成","")</f>
        <v/>
      </c>
      <c r="AY38" s="92">
        <f>E38*$M$1</f>
        <v/>
      </c>
    </row>
    <row r="39" outlineLevel="1">
      <c r="A39" s="67" t="n">
        <v>34</v>
      </c>
      <c r="B39" s="526" t="n"/>
      <c r="C39" s="393" t="n"/>
      <c r="D39" s="427" t="n"/>
      <c r="E39" s="526" t="n"/>
      <c r="F39" s="526" t="n"/>
      <c r="G39" s="527" t="n"/>
      <c r="H39" s="393" t="n"/>
      <c r="I39" s="528" t="n"/>
      <c r="J39" s="528" t="n"/>
      <c r="K39" s="528" t="n"/>
      <c r="L39" s="529" t="n"/>
      <c r="M39" s="529" t="n"/>
      <c r="N39" s="530" t="n"/>
      <c r="O39" s="531" t="n"/>
      <c r="P39" s="527" t="n"/>
      <c r="Q39" s="528" t="n"/>
      <c r="R39" s="528" t="n"/>
      <c r="S39" s="528" t="n"/>
      <c r="T39" s="543" t="n"/>
      <c r="U39" s="534" t="n"/>
      <c r="V39" s="516" t="n"/>
      <c r="W39" s="535" t="n"/>
      <c r="X39" s="536" t="n"/>
      <c r="Y39" s="519" t="n"/>
      <c r="Z39" s="683" t="n"/>
      <c r="AA39" s="684" t="n"/>
      <c r="AB39" s="684" t="n"/>
      <c r="AC39" s="684" t="n"/>
      <c r="AD39" s="685" t="n"/>
      <c r="AE39" s="686" t="n"/>
      <c r="AF39" s="684" t="n"/>
      <c r="AG39" s="687" t="n"/>
      <c r="AH39" s="687" t="n"/>
      <c r="AI39" s="684" t="n"/>
      <c r="AJ39" s="686" t="n"/>
      <c r="AK39" s="687" t="n"/>
      <c r="AL39" s="687" t="n"/>
      <c r="AM39" s="687" t="n"/>
      <c r="AN39" s="688" t="n"/>
      <c r="AO39" s="686" t="n"/>
      <c r="AP39" s="689" t="n"/>
      <c r="AQ39" s="689" t="n"/>
      <c r="AR39" s="689" t="n"/>
      <c r="AS39" s="690" t="n"/>
      <c r="AT39" s="691">
        <f>IF(AJ39&lt;&gt;"",(IF(AV39="到貨","",(AJ39-TODAY()))),"")</f>
        <v/>
      </c>
      <c r="AU39" s="692">
        <f>IF(AO39&lt;&gt;"",(AO39-AE39),"")</f>
        <v/>
      </c>
      <c r="AV39" s="86">
        <f>IF(AI39&lt;&gt;"",IF(AS39&lt;&gt;"","到貨","5次發包中"),IF(AH39&lt;&gt;"",IF(AR39&lt;&gt;"","到貨","4次發包中"),IF(AG39&lt;&gt;"",IF(AQ39&lt;&gt;"","到貨","3次發包中"),IF(AF39&lt;&gt;"",IF(AP39&lt;&gt;"","到貨","2次發包中"),IF(AE39&lt;&gt;"",IF(AO39&lt;&gt;"","到貨","發包中"),"")))))</f>
        <v/>
      </c>
      <c r="AW39" s="86">
        <f>IF(OR($AW$6=Y39),$AW$6,"")</f>
        <v/>
      </c>
      <c r="AX39" s="87">
        <f t="array" ref="AX39">IF(OR(AV39:AW39={"到貨","庫存"}),"完成","")</f>
        <v/>
      </c>
      <c r="AY39" s="92">
        <f>E39*$M$1</f>
        <v/>
      </c>
    </row>
    <row r="40" outlineLevel="1">
      <c r="A40" s="67" t="n">
        <v>35</v>
      </c>
      <c r="B40" s="526" t="n"/>
      <c r="C40" s="393" t="n"/>
      <c r="D40" s="427" t="n"/>
      <c r="E40" s="526" t="n"/>
      <c r="F40" s="526" t="n"/>
      <c r="G40" s="527" t="n"/>
      <c r="H40" s="393" t="n"/>
      <c r="I40" s="528" t="n"/>
      <c r="J40" s="528" t="n"/>
      <c r="K40" s="528" t="n"/>
      <c r="L40" s="529" t="n"/>
      <c r="M40" s="529" t="n"/>
      <c r="N40" s="530" t="n"/>
      <c r="O40" s="531" t="n"/>
      <c r="P40" s="527" t="n"/>
      <c r="Q40" s="528" t="n"/>
      <c r="R40" s="528" t="n"/>
      <c r="S40" s="528" t="n"/>
      <c r="T40" s="543" t="n"/>
      <c r="U40" s="534" t="n"/>
      <c r="V40" s="516" t="n"/>
      <c r="W40" s="535" t="n"/>
      <c r="X40" s="536" t="n"/>
      <c r="Y40" s="519" t="n"/>
      <c r="Z40" s="683" t="n"/>
      <c r="AA40" s="684" t="n"/>
      <c r="AB40" s="684" t="n"/>
      <c r="AC40" s="684" t="n"/>
      <c r="AD40" s="685" t="n"/>
      <c r="AE40" s="686" t="n"/>
      <c r="AF40" s="684" t="n"/>
      <c r="AG40" s="687" t="n"/>
      <c r="AH40" s="687" t="n"/>
      <c r="AI40" s="684" t="n"/>
      <c r="AJ40" s="686" t="n"/>
      <c r="AK40" s="687" t="n"/>
      <c r="AL40" s="687" t="n"/>
      <c r="AM40" s="687" t="n"/>
      <c r="AN40" s="688" t="n"/>
      <c r="AO40" s="686" t="n"/>
      <c r="AP40" s="689" t="n"/>
      <c r="AQ40" s="689" t="n"/>
      <c r="AR40" s="689" t="n"/>
      <c r="AS40" s="690" t="n"/>
      <c r="AT40" s="691">
        <f>IF(AJ40&lt;&gt;"",(IF(AV40="到貨","",(AJ40-TODAY()))),"")</f>
        <v/>
      </c>
      <c r="AU40" s="692">
        <f>IF(AO40&lt;&gt;"",(AO40-AE40),"")</f>
        <v/>
      </c>
      <c r="AV40" s="86">
        <f>IF(AI40&lt;&gt;"",IF(AS40&lt;&gt;"","到貨","5次發包中"),IF(AH40&lt;&gt;"",IF(AR40&lt;&gt;"","到貨","4次發包中"),IF(AG40&lt;&gt;"",IF(AQ40&lt;&gt;"","到貨","3次發包中"),IF(AF40&lt;&gt;"",IF(AP40&lt;&gt;"","到貨","2次發包中"),IF(AE40&lt;&gt;"",IF(AO40&lt;&gt;"","到貨","發包中"),"")))))</f>
        <v/>
      </c>
      <c r="AW40" s="86">
        <f>IF(OR($AW$6=Y40),$AW$6,"")</f>
        <v/>
      </c>
      <c r="AX40" s="87">
        <f t="array" ref="AX40">IF(OR(AV40:AW40={"到貨","庫存"}),"完成","")</f>
        <v/>
      </c>
      <c r="AY40" s="92">
        <f>E40*$M$1</f>
        <v/>
      </c>
    </row>
    <row r="41" outlineLevel="1">
      <c r="A41" s="67" t="n">
        <v>36</v>
      </c>
      <c r="B41" s="526" t="n"/>
      <c r="C41" s="393" t="n"/>
      <c r="D41" s="427" t="n"/>
      <c r="E41" s="526" t="n"/>
      <c r="F41" s="526" t="n"/>
      <c r="G41" s="527" t="n"/>
      <c r="H41" s="393" t="n"/>
      <c r="I41" s="528" t="n"/>
      <c r="J41" s="528" t="n"/>
      <c r="K41" s="528" t="n"/>
      <c r="L41" s="529" t="n"/>
      <c r="M41" s="529" t="n"/>
      <c r="N41" s="530" t="n"/>
      <c r="O41" s="531" t="n"/>
      <c r="P41" s="527" t="n"/>
      <c r="Q41" s="528" t="n"/>
      <c r="R41" s="528" t="n"/>
      <c r="S41" s="528" t="n"/>
      <c r="T41" s="543" t="n"/>
      <c r="U41" s="534" t="n"/>
      <c r="V41" s="516" t="n"/>
      <c r="W41" s="535" t="n"/>
      <c r="X41" s="536" t="n"/>
      <c r="Y41" s="519" t="n"/>
      <c r="Z41" s="683" t="n"/>
      <c r="AA41" s="684" t="n"/>
      <c r="AB41" s="684" t="n"/>
      <c r="AC41" s="684" t="n"/>
      <c r="AD41" s="685" t="n"/>
      <c r="AE41" s="686" t="n"/>
      <c r="AF41" s="684" t="n"/>
      <c r="AG41" s="687" t="n"/>
      <c r="AH41" s="687" t="n"/>
      <c r="AI41" s="684" t="n"/>
      <c r="AJ41" s="686" t="n"/>
      <c r="AK41" s="687" t="n"/>
      <c r="AL41" s="687" t="n"/>
      <c r="AM41" s="687" t="n"/>
      <c r="AN41" s="688" t="n"/>
      <c r="AO41" s="686" t="n"/>
      <c r="AP41" s="689" t="n"/>
      <c r="AQ41" s="689" t="n"/>
      <c r="AR41" s="689" t="n"/>
      <c r="AS41" s="690" t="n"/>
      <c r="AT41" s="691">
        <f>IF(AJ41&lt;&gt;"",(IF(AV41="到貨","",(AJ41-TODAY()))),"")</f>
        <v/>
      </c>
      <c r="AU41" s="692">
        <f>IF(AO41&lt;&gt;"",(AO41-AE41),"")</f>
        <v/>
      </c>
      <c r="AV41" s="86">
        <f>IF(AI41&lt;&gt;"",IF(AS41&lt;&gt;"","到貨","5次發包中"),IF(AH41&lt;&gt;"",IF(AR41&lt;&gt;"","到貨","4次發包中"),IF(AG41&lt;&gt;"",IF(AQ41&lt;&gt;"","到貨","3次發包中"),IF(AF41&lt;&gt;"",IF(AP41&lt;&gt;"","到貨","2次發包中"),IF(AE41&lt;&gt;"",IF(AO41&lt;&gt;"","到貨","發包中"),"")))))</f>
        <v/>
      </c>
      <c r="AW41" s="86">
        <f>IF(OR($AW$6=Y41),$AW$6,"")</f>
        <v/>
      </c>
      <c r="AX41" s="87">
        <f t="array" ref="AX41">IF(OR(AV41:AW41={"到貨","庫存"}),"完成","")</f>
        <v/>
      </c>
      <c r="AY41" s="92">
        <f>E41*$M$1</f>
        <v/>
      </c>
    </row>
    <row r="42" outlineLevel="1">
      <c r="A42" s="67" t="n">
        <v>37</v>
      </c>
      <c r="B42" s="526" t="n"/>
      <c r="C42" s="393" t="n"/>
      <c r="D42" s="427" t="n"/>
      <c r="E42" s="526" t="n"/>
      <c r="F42" s="526" t="n"/>
      <c r="G42" s="527" t="n"/>
      <c r="H42" s="393" t="n"/>
      <c r="I42" s="528" t="n"/>
      <c r="J42" s="528" t="n"/>
      <c r="K42" s="528" t="n"/>
      <c r="L42" s="529" t="n"/>
      <c r="M42" s="529" t="n"/>
      <c r="N42" s="530" t="n"/>
      <c r="O42" s="531" t="n"/>
      <c r="P42" s="527" t="n"/>
      <c r="Q42" s="528" t="n"/>
      <c r="R42" s="528" t="n"/>
      <c r="S42" s="528" t="n"/>
      <c r="T42" s="543" t="n"/>
      <c r="U42" s="534" t="n"/>
      <c r="V42" s="516" t="n"/>
      <c r="W42" s="535" t="n"/>
      <c r="X42" s="536" t="n"/>
      <c r="Y42" s="519" t="n"/>
      <c r="Z42" s="683" t="n"/>
      <c r="AA42" s="684" t="n"/>
      <c r="AB42" s="684" t="n"/>
      <c r="AC42" s="684" t="n"/>
      <c r="AD42" s="685" t="n"/>
      <c r="AE42" s="686" t="n"/>
      <c r="AF42" s="684" t="n"/>
      <c r="AG42" s="687" t="n"/>
      <c r="AH42" s="687" t="n"/>
      <c r="AI42" s="684" t="n"/>
      <c r="AJ42" s="686" t="n"/>
      <c r="AK42" s="687" t="n"/>
      <c r="AL42" s="687" t="n"/>
      <c r="AM42" s="687" t="n"/>
      <c r="AN42" s="688" t="n"/>
      <c r="AO42" s="686" t="n"/>
      <c r="AP42" s="689" t="n"/>
      <c r="AQ42" s="689" t="n"/>
      <c r="AR42" s="689" t="n"/>
      <c r="AS42" s="690" t="n"/>
      <c r="AT42" s="691">
        <f>IF(AJ42&lt;&gt;"",(IF(AV42="到貨","",(AJ42-TODAY()))),"")</f>
        <v/>
      </c>
      <c r="AU42" s="692">
        <f>IF(AO42&lt;&gt;"",(AO42-AE42),"")</f>
        <v/>
      </c>
      <c r="AV42" s="86">
        <f>IF(AI42&lt;&gt;"",IF(AS42&lt;&gt;"","到貨","5次發包中"),IF(AH42&lt;&gt;"",IF(AR42&lt;&gt;"","到貨","4次發包中"),IF(AG42&lt;&gt;"",IF(AQ42&lt;&gt;"","到貨","3次發包中"),IF(AF42&lt;&gt;"",IF(AP42&lt;&gt;"","到貨","2次發包中"),IF(AE42&lt;&gt;"",IF(AO42&lt;&gt;"","到貨","發包中"),"")))))</f>
        <v/>
      </c>
      <c r="AW42" s="86">
        <f>IF(OR($AW$6=Y42),$AW$6,"")</f>
        <v/>
      </c>
      <c r="AX42" s="87">
        <f t="array" ref="AX42">IF(OR(AV42:AW42={"到貨","庫存"}),"完成","")</f>
        <v/>
      </c>
      <c r="AY42" s="92">
        <f>E42*$M$1</f>
        <v/>
      </c>
    </row>
    <row r="43" outlineLevel="1">
      <c r="A43" s="67" t="n">
        <v>38</v>
      </c>
      <c r="B43" s="526" t="n"/>
      <c r="C43" s="393" t="n"/>
      <c r="D43" s="427" t="n"/>
      <c r="E43" s="526" t="n"/>
      <c r="F43" s="526" t="n"/>
      <c r="G43" s="527" t="n"/>
      <c r="H43" s="393" t="n"/>
      <c r="I43" s="528" t="n"/>
      <c r="J43" s="528" t="n"/>
      <c r="K43" s="528" t="n"/>
      <c r="L43" s="529" t="n"/>
      <c r="M43" s="529" t="n"/>
      <c r="N43" s="530" t="n"/>
      <c r="O43" s="531" t="n"/>
      <c r="P43" s="527" t="n"/>
      <c r="Q43" s="528" t="n"/>
      <c r="R43" s="528" t="n"/>
      <c r="S43" s="528" t="n"/>
      <c r="T43" s="543" t="n"/>
      <c r="U43" s="534" t="n"/>
      <c r="V43" s="516" t="n"/>
      <c r="W43" s="535" t="n"/>
      <c r="X43" s="536" t="n"/>
      <c r="Y43" s="519" t="n"/>
      <c r="Z43" s="683" t="n"/>
      <c r="AA43" s="684" t="n"/>
      <c r="AB43" s="684" t="n"/>
      <c r="AC43" s="684" t="n"/>
      <c r="AD43" s="685" t="n"/>
      <c r="AE43" s="686" t="n"/>
      <c r="AF43" s="684" t="n"/>
      <c r="AG43" s="687" t="n"/>
      <c r="AH43" s="687" t="n"/>
      <c r="AI43" s="684" t="n"/>
      <c r="AJ43" s="686" t="n"/>
      <c r="AK43" s="687" t="n"/>
      <c r="AL43" s="687" t="n"/>
      <c r="AM43" s="687" t="n"/>
      <c r="AN43" s="688" t="n"/>
      <c r="AO43" s="686" t="n"/>
      <c r="AP43" s="689" t="n"/>
      <c r="AQ43" s="689" t="n"/>
      <c r="AR43" s="689" t="n"/>
      <c r="AS43" s="690" t="n"/>
      <c r="AT43" s="691">
        <f>IF(AJ43&lt;&gt;"",(IF(AV43="到貨","",(AJ43-TODAY()))),"")</f>
        <v/>
      </c>
      <c r="AU43" s="692">
        <f>IF(AO43&lt;&gt;"",(AO43-AE43),"")</f>
        <v/>
      </c>
      <c r="AV43" s="86">
        <f>IF(AI43&lt;&gt;"",IF(AS43&lt;&gt;"","到貨","5次發包中"),IF(AH43&lt;&gt;"",IF(AR43&lt;&gt;"","到貨","4次發包中"),IF(AG43&lt;&gt;"",IF(AQ43&lt;&gt;"","到貨","3次發包中"),IF(AF43&lt;&gt;"",IF(AP43&lt;&gt;"","到貨","2次發包中"),IF(AE43&lt;&gt;"",IF(AO43&lt;&gt;"","到貨","發包中"),"")))))</f>
        <v/>
      </c>
      <c r="AW43" s="86">
        <f>IF(OR($AW$6=Y43),$AW$6,"")</f>
        <v/>
      </c>
      <c r="AX43" s="87">
        <f t="array" ref="AX43">IF(OR(AV43:AW43={"到貨","庫存"}),"完成","")</f>
        <v/>
      </c>
      <c r="AY43" s="92">
        <f>E43*$M$1</f>
        <v/>
      </c>
    </row>
    <row r="44" outlineLevel="1">
      <c r="A44" s="67" t="n">
        <v>39</v>
      </c>
      <c r="B44" s="526" t="n"/>
      <c r="C44" s="393" t="n"/>
      <c r="D44" s="427" t="n"/>
      <c r="E44" s="526" t="n"/>
      <c r="F44" s="526" t="n"/>
      <c r="G44" s="527" t="n"/>
      <c r="H44" s="393" t="n"/>
      <c r="I44" s="528" t="n"/>
      <c r="J44" s="528" t="n"/>
      <c r="K44" s="528" t="n"/>
      <c r="L44" s="529" t="n"/>
      <c r="M44" s="529" t="n"/>
      <c r="N44" s="530" t="n"/>
      <c r="O44" s="531" t="n"/>
      <c r="P44" s="527" t="n"/>
      <c r="Q44" s="528" t="n"/>
      <c r="R44" s="528" t="n"/>
      <c r="S44" s="528" t="n"/>
      <c r="T44" s="543" t="n"/>
      <c r="U44" s="534" t="n"/>
      <c r="V44" s="516" t="n"/>
      <c r="W44" s="535" t="n"/>
      <c r="X44" s="536" t="n"/>
      <c r="Y44" s="519" t="n"/>
      <c r="Z44" s="683" t="n"/>
      <c r="AA44" s="684" t="n"/>
      <c r="AB44" s="684" t="n"/>
      <c r="AC44" s="684" t="n"/>
      <c r="AD44" s="685" t="n"/>
      <c r="AE44" s="686" t="n"/>
      <c r="AF44" s="684" t="n"/>
      <c r="AG44" s="687" t="n"/>
      <c r="AH44" s="687" t="n"/>
      <c r="AI44" s="684" t="n"/>
      <c r="AJ44" s="686" t="n"/>
      <c r="AK44" s="687" t="n"/>
      <c r="AL44" s="687" t="n"/>
      <c r="AM44" s="687" t="n"/>
      <c r="AN44" s="688" t="n"/>
      <c r="AO44" s="686" t="n"/>
      <c r="AP44" s="689" t="n"/>
      <c r="AQ44" s="689" t="n"/>
      <c r="AR44" s="689" t="n"/>
      <c r="AS44" s="690" t="n"/>
      <c r="AT44" s="691">
        <f>IF(AJ44&lt;&gt;"",(IF(AV44="到貨","",(AJ44-TODAY()))),"")</f>
        <v/>
      </c>
      <c r="AU44" s="692">
        <f>IF(AO44&lt;&gt;"",(AO44-AE44),"")</f>
        <v/>
      </c>
      <c r="AV44" s="86">
        <f>IF(AI44&lt;&gt;"",IF(AS44&lt;&gt;"","到貨","5次發包中"),IF(AH44&lt;&gt;"",IF(AR44&lt;&gt;"","到貨","4次發包中"),IF(AG44&lt;&gt;"",IF(AQ44&lt;&gt;"","到貨","3次發包中"),IF(AF44&lt;&gt;"",IF(AP44&lt;&gt;"","到貨","2次發包中"),IF(AE44&lt;&gt;"",IF(AO44&lt;&gt;"","到貨","發包中"),"")))))</f>
        <v/>
      </c>
      <c r="AW44" s="86">
        <f>IF(OR($AW$6=Y44),$AW$6,"")</f>
        <v/>
      </c>
      <c r="AX44" s="87">
        <f t="array" ref="AX44">IF(OR(AV44:AW44={"到貨","庫存"}),"完成","")</f>
        <v/>
      </c>
      <c r="AY44" s="92">
        <f>E44*$M$1</f>
        <v/>
      </c>
    </row>
    <row r="45" outlineLevel="1">
      <c r="A45" s="67" t="n">
        <v>40</v>
      </c>
      <c r="B45" s="526" t="n"/>
      <c r="C45" s="393" t="n"/>
      <c r="D45" s="427" t="n"/>
      <c r="E45" s="526" t="n"/>
      <c r="F45" s="526" t="n"/>
      <c r="G45" s="527" t="n"/>
      <c r="H45" s="393" t="n"/>
      <c r="I45" s="528" t="n"/>
      <c r="J45" s="528" t="n"/>
      <c r="K45" s="528" t="n"/>
      <c r="L45" s="529" t="n"/>
      <c r="M45" s="529" t="n"/>
      <c r="N45" s="530" t="n"/>
      <c r="O45" s="531" t="n"/>
      <c r="P45" s="527" t="n"/>
      <c r="Q45" s="528" t="n"/>
      <c r="R45" s="528" t="n"/>
      <c r="S45" s="528" t="n"/>
      <c r="T45" s="543" t="n"/>
      <c r="U45" s="534" t="n"/>
      <c r="V45" s="516" t="n"/>
      <c r="W45" s="535" t="n"/>
      <c r="X45" s="536" t="n"/>
      <c r="Y45" s="519" t="n"/>
      <c r="Z45" s="683" t="n"/>
      <c r="AA45" s="684" t="n"/>
      <c r="AB45" s="684" t="n"/>
      <c r="AC45" s="684" t="n"/>
      <c r="AD45" s="685" t="n"/>
      <c r="AE45" s="686" t="n"/>
      <c r="AF45" s="684" t="n"/>
      <c r="AG45" s="687" t="n"/>
      <c r="AH45" s="687" t="n"/>
      <c r="AI45" s="684" t="n"/>
      <c r="AJ45" s="686" t="n"/>
      <c r="AK45" s="687" t="n"/>
      <c r="AL45" s="687" t="n"/>
      <c r="AM45" s="687" t="n"/>
      <c r="AN45" s="688" t="n"/>
      <c r="AO45" s="686" t="n"/>
      <c r="AP45" s="689" t="n"/>
      <c r="AQ45" s="689" t="n"/>
      <c r="AR45" s="689" t="n"/>
      <c r="AS45" s="690" t="n"/>
      <c r="AT45" s="691">
        <f>IF(AJ45&lt;&gt;"",(IF(AV45="到貨","",(AJ45-TODAY()))),"")</f>
        <v/>
      </c>
      <c r="AU45" s="692">
        <f>IF(AO45&lt;&gt;"",(AO45-AE45),"")</f>
        <v/>
      </c>
      <c r="AV45" s="86">
        <f>IF(AI45&lt;&gt;"",IF(AS45&lt;&gt;"","到貨","5次發包中"),IF(AH45&lt;&gt;"",IF(AR45&lt;&gt;"","到貨","4次發包中"),IF(AG45&lt;&gt;"",IF(AQ45&lt;&gt;"","到貨","3次發包中"),IF(AF45&lt;&gt;"",IF(AP45&lt;&gt;"","到貨","2次發包中"),IF(AE45&lt;&gt;"",IF(AO45&lt;&gt;"","到貨","發包中"),"")))))</f>
        <v/>
      </c>
      <c r="AW45" s="86">
        <f>IF(OR($AW$6=Y45),$AW$6,"")</f>
        <v/>
      </c>
      <c r="AX45" s="87">
        <f t="array" ref="AX45">IF(OR(AV45:AW45={"到貨","庫存"}),"完成","")</f>
        <v/>
      </c>
      <c r="AY45" s="92">
        <f>E45*$M$1</f>
        <v/>
      </c>
    </row>
    <row r="46" outlineLevel="1">
      <c r="A46" s="67" t="n">
        <v>41</v>
      </c>
      <c r="B46" s="526" t="n"/>
      <c r="C46" s="393" t="n"/>
      <c r="D46" s="427" t="n"/>
      <c r="E46" s="526" t="n"/>
      <c r="F46" s="526" t="n"/>
      <c r="G46" s="527" t="n"/>
      <c r="H46" s="393" t="n"/>
      <c r="I46" s="528" t="n"/>
      <c r="J46" s="528" t="n"/>
      <c r="K46" s="528" t="n"/>
      <c r="L46" s="529" t="n"/>
      <c r="M46" s="529" t="n"/>
      <c r="N46" s="530" t="n"/>
      <c r="O46" s="531" t="n"/>
      <c r="P46" s="527" t="n"/>
      <c r="Q46" s="528" t="n"/>
      <c r="R46" s="528" t="n"/>
      <c r="S46" s="528" t="n"/>
      <c r="T46" s="543" t="n"/>
      <c r="U46" s="534" t="n"/>
      <c r="V46" s="516" t="n"/>
      <c r="W46" s="535" t="n"/>
      <c r="X46" s="536" t="n"/>
      <c r="Y46" s="519" t="n"/>
      <c r="Z46" s="683" t="n"/>
      <c r="AA46" s="684" t="n"/>
      <c r="AB46" s="684" t="n"/>
      <c r="AC46" s="684" t="n"/>
      <c r="AD46" s="685" t="n"/>
      <c r="AE46" s="686" t="n"/>
      <c r="AF46" s="684" t="n"/>
      <c r="AG46" s="687" t="n"/>
      <c r="AH46" s="687" t="n"/>
      <c r="AI46" s="684" t="n"/>
      <c r="AJ46" s="686" t="n"/>
      <c r="AK46" s="687" t="n"/>
      <c r="AL46" s="687" t="n"/>
      <c r="AM46" s="687" t="n"/>
      <c r="AN46" s="688" t="n"/>
      <c r="AO46" s="686" t="n"/>
      <c r="AP46" s="689" t="n"/>
      <c r="AQ46" s="689" t="n"/>
      <c r="AR46" s="689" t="n"/>
      <c r="AS46" s="690" t="n"/>
      <c r="AT46" s="691">
        <f>IF(AJ46&lt;&gt;"",(IF(AV46="到貨","",(AJ46-TODAY()))),"")</f>
        <v/>
      </c>
      <c r="AU46" s="692">
        <f>IF(AO46&lt;&gt;"",(AO46-AE46),"")</f>
        <v/>
      </c>
      <c r="AV46" s="86">
        <f>IF(AI46&lt;&gt;"",IF(AS46&lt;&gt;"","到貨","5次發包中"),IF(AH46&lt;&gt;"",IF(AR46&lt;&gt;"","到貨","4次發包中"),IF(AG46&lt;&gt;"",IF(AQ46&lt;&gt;"","到貨","3次發包中"),IF(AF46&lt;&gt;"",IF(AP46&lt;&gt;"","到貨","2次發包中"),IF(AE46&lt;&gt;"",IF(AO46&lt;&gt;"","到貨","發包中"),"")))))</f>
        <v/>
      </c>
      <c r="AW46" s="86">
        <f>IF(OR($AW$6=Y46),$AW$6,"")</f>
        <v/>
      </c>
      <c r="AX46" s="87">
        <f t="array" ref="AX46">IF(OR(AV46:AW46={"到貨","庫存"}),"完成","")</f>
        <v/>
      </c>
      <c r="AY46" s="92">
        <f>E46*$M$1</f>
        <v/>
      </c>
    </row>
    <row r="47" outlineLevel="1">
      <c r="A47" s="67" t="n">
        <v>42</v>
      </c>
      <c r="B47" s="526" t="n"/>
      <c r="C47" s="393" t="n"/>
      <c r="D47" s="427" t="n"/>
      <c r="E47" s="526" t="n"/>
      <c r="F47" s="526" t="n"/>
      <c r="G47" s="527" t="n"/>
      <c r="H47" s="393" t="n"/>
      <c r="I47" s="528" t="n"/>
      <c r="J47" s="528" t="n"/>
      <c r="K47" s="528" t="n"/>
      <c r="L47" s="529" t="n"/>
      <c r="M47" s="529" t="n"/>
      <c r="N47" s="530" t="n"/>
      <c r="O47" s="531" t="n"/>
      <c r="P47" s="527" t="n"/>
      <c r="Q47" s="528" t="n"/>
      <c r="R47" s="528" t="n"/>
      <c r="S47" s="528" t="n"/>
      <c r="T47" s="543" t="n"/>
      <c r="U47" s="534" t="n"/>
      <c r="V47" s="516" t="n"/>
      <c r="W47" s="535" t="n"/>
      <c r="X47" s="536" t="n"/>
      <c r="Y47" s="519" t="n"/>
      <c r="Z47" s="683" t="n"/>
      <c r="AA47" s="684" t="n"/>
      <c r="AB47" s="684" t="n"/>
      <c r="AC47" s="684" t="n"/>
      <c r="AD47" s="685" t="n"/>
      <c r="AE47" s="686" t="n"/>
      <c r="AF47" s="684" t="n"/>
      <c r="AG47" s="687" t="n"/>
      <c r="AH47" s="687" t="n"/>
      <c r="AI47" s="684" t="n"/>
      <c r="AJ47" s="686" t="n"/>
      <c r="AK47" s="687" t="n"/>
      <c r="AL47" s="687" t="n"/>
      <c r="AM47" s="687" t="n"/>
      <c r="AN47" s="688" t="n"/>
      <c r="AO47" s="686" t="n"/>
      <c r="AP47" s="689" t="n"/>
      <c r="AQ47" s="689" t="n"/>
      <c r="AR47" s="689" t="n"/>
      <c r="AS47" s="690" t="n"/>
      <c r="AT47" s="691">
        <f>IF(AJ47&lt;&gt;"",(IF(AV47="到貨","",(AJ47-TODAY()))),"")</f>
        <v/>
      </c>
      <c r="AU47" s="692">
        <f>IF(AO47&lt;&gt;"",(AO47-AE47),"")</f>
        <v/>
      </c>
      <c r="AV47" s="86">
        <f>IF(AI47&lt;&gt;"",IF(AS47&lt;&gt;"","到貨","5次發包中"),IF(AH47&lt;&gt;"",IF(AR47&lt;&gt;"","到貨","4次發包中"),IF(AG47&lt;&gt;"",IF(AQ47&lt;&gt;"","到貨","3次發包中"),IF(AF47&lt;&gt;"",IF(AP47&lt;&gt;"","到貨","2次發包中"),IF(AE47&lt;&gt;"",IF(AO47&lt;&gt;"","到貨","發包中"),"")))))</f>
        <v/>
      </c>
      <c r="AW47" s="86">
        <f>IF(OR($AW$6=Y47),$AW$6,"")</f>
        <v/>
      </c>
      <c r="AX47" s="87">
        <f t="array" ref="AX47">IF(OR(AV47:AW47={"到貨","庫存"}),"完成","")</f>
        <v/>
      </c>
      <c r="AY47" s="92">
        <f>E47*$M$1</f>
        <v/>
      </c>
    </row>
    <row r="48" outlineLevel="1">
      <c r="A48" s="67" t="n">
        <v>43</v>
      </c>
      <c r="B48" s="526" t="n"/>
      <c r="C48" s="393" t="n"/>
      <c r="D48" s="427" t="n"/>
      <c r="E48" s="526" t="n"/>
      <c r="F48" s="526" t="n"/>
      <c r="G48" s="527" t="n"/>
      <c r="H48" s="393" t="n"/>
      <c r="I48" s="528" t="n"/>
      <c r="J48" s="528" t="n"/>
      <c r="K48" s="528" t="n"/>
      <c r="L48" s="529" t="n"/>
      <c r="M48" s="529" t="n"/>
      <c r="N48" s="530" t="n"/>
      <c r="O48" s="531" t="n"/>
      <c r="P48" s="527" t="n"/>
      <c r="Q48" s="528" t="n"/>
      <c r="R48" s="528" t="n"/>
      <c r="S48" s="528" t="n"/>
      <c r="T48" s="543" t="n"/>
      <c r="U48" s="534" t="n"/>
      <c r="V48" s="516" t="n"/>
      <c r="W48" s="535" t="n"/>
      <c r="X48" s="536" t="n"/>
      <c r="Y48" s="519" t="n"/>
      <c r="Z48" s="683" t="n"/>
      <c r="AA48" s="684" t="n"/>
      <c r="AB48" s="684" t="n"/>
      <c r="AC48" s="684" t="n"/>
      <c r="AD48" s="685" t="n"/>
      <c r="AE48" s="686" t="n"/>
      <c r="AF48" s="684" t="n"/>
      <c r="AG48" s="687" t="n"/>
      <c r="AH48" s="687" t="n"/>
      <c r="AI48" s="684" t="n"/>
      <c r="AJ48" s="686" t="n"/>
      <c r="AK48" s="687" t="n"/>
      <c r="AL48" s="687" t="n"/>
      <c r="AM48" s="687" t="n"/>
      <c r="AN48" s="688" t="n"/>
      <c r="AO48" s="686" t="n"/>
      <c r="AP48" s="689" t="n"/>
      <c r="AQ48" s="689" t="n"/>
      <c r="AR48" s="689" t="n"/>
      <c r="AS48" s="690" t="n"/>
      <c r="AT48" s="691">
        <f>IF(AJ48&lt;&gt;"",(IF(AV48="到貨","",(AJ48-TODAY()))),"")</f>
        <v/>
      </c>
      <c r="AU48" s="692">
        <f>IF(AO48&lt;&gt;"",(AO48-AE48),"")</f>
        <v/>
      </c>
      <c r="AV48" s="86">
        <f>IF(AI48&lt;&gt;"",IF(AS48&lt;&gt;"","到貨","5次發包中"),IF(AH48&lt;&gt;"",IF(AR48&lt;&gt;"","到貨","4次發包中"),IF(AG48&lt;&gt;"",IF(AQ48&lt;&gt;"","到貨","3次發包中"),IF(AF48&lt;&gt;"",IF(AP48&lt;&gt;"","到貨","2次發包中"),IF(AE48&lt;&gt;"",IF(AO48&lt;&gt;"","到貨","發包中"),"")))))</f>
        <v/>
      </c>
      <c r="AW48" s="86">
        <f>IF(OR($AW$6=Y48),$AW$6,"")</f>
        <v/>
      </c>
      <c r="AX48" s="87">
        <f t="array" ref="AX48">IF(OR(AV48:AW48={"到貨","庫存"}),"完成","")</f>
        <v/>
      </c>
      <c r="AY48" s="92">
        <f>E48*$M$1</f>
        <v/>
      </c>
    </row>
    <row r="49" outlineLevel="1">
      <c r="A49" s="67" t="n">
        <v>44</v>
      </c>
      <c r="B49" s="526" t="n"/>
      <c r="C49" s="393" t="n"/>
      <c r="D49" s="427" t="n"/>
      <c r="E49" s="526" t="n"/>
      <c r="F49" s="526" t="n"/>
      <c r="G49" s="527" t="n"/>
      <c r="H49" s="393" t="n"/>
      <c r="I49" s="528" t="n"/>
      <c r="J49" s="528" t="n"/>
      <c r="K49" s="528" t="n"/>
      <c r="L49" s="529" t="n"/>
      <c r="M49" s="529" t="n"/>
      <c r="N49" s="530" t="n"/>
      <c r="O49" s="531" t="n"/>
      <c r="P49" s="527" t="n"/>
      <c r="Q49" s="528" t="n"/>
      <c r="R49" s="528" t="n"/>
      <c r="S49" s="528" t="n"/>
      <c r="T49" s="543" t="n"/>
      <c r="U49" s="534" t="n"/>
      <c r="V49" s="516" t="n"/>
      <c r="W49" s="535" t="n"/>
      <c r="X49" s="536" t="n"/>
      <c r="Y49" s="519" t="n"/>
      <c r="Z49" s="683" t="n"/>
      <c r="AA49" s="684" t="n"/>
      <c r="AB49" s="684" t="n"/>
      <c r="AC49" s="684" t="n"/>
      <c r="AD49" s="685" t="n"/>
      <c r="AE49" s="686" t="n"/>
      <c r="AF49" s="684" t="n"/>
      <c r="AG49" s="687" t="n"/>
      <c r="AH49" s="687" t="n"/>
      <c r="AI49" s="684" t="n"/>
      <c r="AJ49" s="686" t="n"/>
      <c r="AK49" s="687" t="n"/>
      <c r="AL49" s="687" t="n"/>
      <c r="AM49" s="687" t="n"/>
      <c r="AN49" s="688" t="n"/>
      <c r="AO49" s="686" t="n"/>
      <c r="AP49" s="689" t="n"/>
      <c r="AQ49" s="689" t="n"/>
      <c r="AR49" s="689" t="n"/>
      <c r="AS49" s="690" t="n"/>
      <c r="AT49" s="691">
        <f>IF(AJ49&lt;&gt;"",(IF(AV49="到貨","",(AJ49-TODAY()))),"")</f>
        <v/>
      </c>
      <c r="AU49" s="692">
        <f>IF(AO49&lt;&gt;"",(AO49-AE49),"")</f>
        <v/>
      </c>
      <c r="AV49" s="86">
        <f>IF(AI49&lt;&gt;"",IF(AS49&lt;&gt;"","到貨","5次發包中"),IF(AH49&lt;&gt;"",IF(AR49&lt;&gt;"","到貨","4次發包中"),IF(AG49&lt;&gt;"",IF(AQ49&lt;&gt;"","到貨","3次發包中"),IF(AF49&lt;&gt;"",IF(AP49&lt;&gt;"","到貨","2次發包中"),IF(AE49&lt;&gt;"",IF(AO49&lt;&gt;"","到貨","發包中"),"")))))</f>
        <v/>
      </c>
      <c r="AW49" s="86">
        <f>IF(OR($AW$6=Y49),$AW$6,"")</f>
        <v/>
      </c>
      <c r="AX49" s="87">
        <f t="array" ref="AX49">IF(OR(AV49:AW49={"到貨","庫存"}),"完成","")</f>
        <v/>
      </c>
      <c r="AY49" s="92">
        <f>E49*$M$1</f>
        <v/>
      </c>
    </row>
    <row r="50" outlineLevel="1">
      <c r="A50" s="67" t="n">
        <v>45</v>
      </c>
      <c r="B50" s="526" t="n"/>
      <c r="C50" s="393" t="n"/>
      <c r="D50" s="427" t="n"/>
      <c r="E50" s="526" t="n"/>
      <c r="F50" s="526" t="n"/>
      <c r="G50" s="527" t="n"/>
      <c r="H50" s="393" t="n"/>
      <c r="I50" s="528" t="n"/>
      <c r="J50" s="528" t="n"/>
      <c r="K50" s="528" t="n"/>
      <c r="L50" s="529" t="n"/>
      <c r="M50" s="529" t="n"/>
      <c r="N50" s="530" t="n"/>
      <c r="O50" s="531" t="n"/>
      <c r="P50" s="527" t="n"/>
      <c r="Q50" s="528" t="n"/>
      <c r="R50" s="528" t="n"/>
      <c r="S50" s="528" t="n"/>
      <c r="T50" s="543" t="n"/>
      <c r="U50" s="534" t="n"/>
      <c r="V50" s="516" t="n"/>
      <c r="W50" s="535" t="n"/>
      <c r="X50" s="536" t="n"/>
      <c r="Y50" s="519" t="n"/>
      <c r="Z50" s="683" t="n"/>
      <c r="AA50" s="684" t="n"/>
      <c r="AB50" s="684" t="n"/>
      <c r="AC50" s="684" t="n"/>
      <c r="AD50" s="685" t="n"/>
      <c r="AE50" s="686" t="n"/>
      <c r="AF50" s="684" t="n"/>
      <c r="AG50" s="687" t="n"/>
      <c r="AH50" s="687" t="n"/>
      <c r="AI50" s="684" t="n"/>
      <c r="AJ50" s="686" t="n"/>
      <c r="AK50" s="687" t="n"/>
      <c r="AL50" s="687" t="n"/>
      <c r="AM50" s="687" t="n"/>
      <c r="AN50" s="688" t="n"/>
      <c r="AO50" s="686" t="n"/>
      <c r="AP50" s="689" t="n"/>
      <c r="AQ50" s="689" t="n"/>
      <c r="AR50" s="689" t="n"/>
      <c r="AS50" s="690" t="n"/>
      <c r="AT50" s="691">
        <f>IF(AJ50&lt;&gt;"",(IF(AV50="到貨","",(AJ50-TODAY()))),"")</f>
        <v/>
      </c>
      <c r="AU50" s="692">
        <f>IF(AO50&lt;&gt;"",(AO50-AE50),"")</f>
        <v/>
      </c>
      <c r="AV50" s="86">
        <f>IF(AI50&lt;&gt;"",IF(AS50&lt;&gt;"","到貨","5次發包中"),IF(AH50&lt;&gt;"",IF(AR50&lt;&gt;"","到貨","4次發包中"),IF(AG50&lt;&gt;"",IF(AQ50&lt;&gt;"","到貨","3次發包中"),IF(AF50&lt;&gt;"",IF(AP50&lt;&gt;"","到貨","2次發包中"),IF(AE50&lt;&gt;"",IF(AO50&lt;&gt;"","到貨","發包中"),"")))))</f>
        <v/>
      </c>
      <c r="AW50" s="86">
        <f>IF(OR($AW$6=Y50),$AW$6,"")</f>
        <v/>
      </c>
      <c r="AX50" s="87">
        <f t="array" ref="AX50">IF(OR(AV50:AW50={"到貨","庫存"}),"完成","")</f>
        <v/>
      </c>
      <c r="AY50" s="92">
        <f>E50*$M$1</f>
        <v/>
      </c>
    </row>
    <row r="51" outlineLevel="1">
      <c r="A51" s="67" t="n">
        <v>46</v>
      </c>
      <c r="B51" s="526" t="n"/>
      <c r="C51" s="393" t="n"/>
      <c r="D51" s="427" t="n"/>
      <c r="E51" s="526" t="n"/>
      <c r="F51" s="526" t="n"/>
      <c r="G51" s="527" t="n"/>
      <c r="H51" s="393" t="n"/>
      <c r="I51" s="528" t="n"/>
      <c r="J51" s="528" t="n"/>
      <c r="K51" s="528" t="n"/>
      <c r="L51" s="529" t="n"/>
      <c r="M51" s="529" t="n"/>
      <c r="N51" s="530" t="n"/>
      <c r="O51" s="531" t="n"/>
      <c r="P51" s="527" t="n"/>
      <c r="Q51" s="528" t="n"/>
      <c r="R51" s="528" t="n"/>
      <c r="S51" s="528" t="n"/>
      <c r="T51" s="543" t="n"/>
      <c r="U51" s="534" t="n"/>
      <c r="V51" s="516" t="n"/>
      <c r="W51" s="535" t="n"/>
      <c r="X51" s="536" t="n"/>
      <c r="Y51" s="519" t="n"/>
      <c r="Z51" s="683" t="n"/>
      <c r="AA51" s="684" t="n"/>
      <c r="AB51" s="684" t="n"/>
      <c r="AC51" s="684" t="n"/>
      <c r="AD51" s="685" t="n"/>
      <c r="AE51" s="686" t="n"/>
      <c r="AF51" s="684" t="n"/>
      <c r="AG51" s="687" t="n"/>
      <c r="AH51" s="687" t="n"/>
      <c r="AI51" s="684" t="n"/>
      <c r="AJ51" s="686" t="n"/>
      <c r="AK51" s="687" t="n"/>
      <c r="AL51" s="687" t="n"/>
      <c r="AM51" s="687" t="n"/>
      <c r="AN51" s="688" t="n"/>
      <c r="AO51" s="686" t="n"/>
      <c r="AP51" s="689" t="n"/>
      <c r="AQ51" s="689" t="n"/>
      <c r="AR51" s="689" t="n"/>
      <c r="AS51" s="690" t="n"/>
      <c r="AT51" s="691">
        <f>IF(AJ51&lt;&gt;"",(IF(AV51="到貨","",(AJ51-TODAY()))),"")</f>
        <v/>
      </c>
      <c r="AU51" s="692">
        <f>IF(AO51&lt;&gt;"",(AO51-AE51),"")</f>
        <v/>
      </c>
      <c r="AV51" s="86">
        <f>IF(AI51&lt;&gt;"",IF(AS51&lt;&gt;"","到貨","5次發包中"),IF(AH51&lt;&gt;"",IF(AR51&lt;&gt;"","到貨","4次發包中"),IF(AG51&lt;&gt;"",IF(AQ51&lt;&gt;"","到貨","3次發包中"),IF(AF51&lt;&gt;"",IF(AP51&lt;&gt;"","到貨","2次發包中"),IF(AE51&lt;&gt;"",IF(AO51&lt;&gt;"","到貨","發包中"),"")))))</f>
        <v/>
      </c>
      <c r="AW51" s="86">
        <f>IF(OR($AW$6=Y51),$AW$6,"")</f>
        <v/>
      </c>
      <c r="AX51" s="87">
        <f t="array" ref="AX51">IF(OR(AV51:AW51={"到貨","庫存"}),"完成","")</f>
        <v/>
      </c>
      <c r="AY51" s="92">
        <f>E51*$M$1</f>
        <v/>
      </c>
    </row>
    <row r="52" outlineLevel="1" ht="14.25" customHeight="1">
      <c r="A52" s="67" t="n">
        <v>47</v>
      </c>
      <c r="B52" s="526" t="n"/>
      <c r="C52" s="393" t="n"/>
      <c r="D52" s="427" t="n"/>
      <c r="E52" s="526" t="n"/>
      <c r="F52" s="526" t="n"/>
      <c r="G52" s="527" t="n"/>
      <c r="H52" s="393" t="n"/>
      <c r="I52" s="528" t="n"/>
      <c r="J52" s="528" t="n"/>
      <c r="K52" s="528" t="n"/>
      <c r="L52" s="529" t="n"/>
      <c r="M52" s="529" t="n"/>
      <c r="N52" s="530" t="n"/>
      <c r="O52" s="531" t="n"/>
      <c r="P52" s="527" t="n"/>
      <c r="Q52" s="528" t="n"/>
      <c r="R52" s="528" t="n"/>
      <c r="S52" s="528" t="n"/>
      <c r="T52" s="543" t="n"/>
      <c r="U52" s="534" t="n"/>
      <c r="V52" s="516" t="n"/>
      <c r="W52" s="535" t="n"/>
      <c r="X52" s="536" t="n"/>
      <c r="Y52" s="519" t="n"/>
      <c r="Z52" s="683" t="n"/>
      <c r="AA52" s="684" t="n"/>
      <c r="AB52" s="684" t="n"/>
      <c r="AC52" s="684" t="n"/>
      <c r="AD52" s="685" t="n"/>
      <c r="AE52" s="686" t="n"/>
      <c r="AF52" s="684" t="n"/>
      <c r="AG52" s="687" t="n"/>
      <c r="AH52" s="687" t="n"/>
      <c r="AI52" s="684" t="n"/>
      <c r="AJ52" s="686" t="n"/>
      <c r="AK52" s="687" t="n"/>
      <c r="AL52" s="687" t="n"/>
      <c r="AM52" s="687" t="n"/>
      <c r="AN52" s="688" t="n"/>
      <c r="AO52" s="686" t="n"/>
      <c r="AP52" s="689" t="n"/>
      <c r="AQ52" s="689" t="n"/>
      <c r="AR52" s="689" t="n"/>
      <c r="AS52" s="690" t="n"/>
      <c r="AT52" s="691">
        <f>IF(AJ52&lt;&gt;"",(IF(AV52="到貨","",(AJ52-TODAY()))),"")</f>
        <v/>
      </c>
      <c r="AU52" s="692">
        <f>IF(AO52&lt;&gt;"",(AO52-AE52),"")</f>
        <v/>
      </c>
      <c r="AV52" s="86">
        <f>IF(AI52&lt;&gt;"",IF(AS52&lt;&gt;"","到貨","5次發包中"),IF(AH52&lt;&gt;"",IF(AR52&lt;&gt;"","到貨","4次發包中"),IF(AG52&lt;&gt;"",IF(AQ52&lt;&gt;"","到貨","3次發包中"),IF(AF52&lt;&gt;"",IF(AP52&lt;&gt;"","到貨","2次發包中"),IF(AE52&lt;&gt;"",IF(AO52&lt;&gt;"","到貨","發包中"),"")))))</f>
        <v/>
      </c>
      <c r="AW52" s="86">
        <f>IF(OR($AW$6=Y52),$AW$6,"")</f>
        <v/>
      </c>
      <c r="AX52" s="87">
        <f t="array" ref="AX52">IF(OR(AV52:AW52={"到貨","庫存"}),"完成","")</f>
        <v/>
      </c>
      <c r="AY52" s="92">
        <f>E52*$M$1</f>
        <v/>
      </c>
    </row>
    <row r="53" outlineLevel="1" ht="14.25" customHeight="1">
      <c r="A53" s="67" t="n">
        <v>48</v>
      </c>
      <c r="B53" s="526" t="n"/>
      <c r="C53" s="393" t="n"/>
      <c r="D53" s="427" t="n"/>
      <c r="E53" s="526" t="n"/>
      <c r="F53" s="526" t="n"/>
      <c r="G53" s="527" t="n"/>
      <c r="H53" s="393" t="n"/>
      <c r="I53" s="528" t="n"/>
      <c r="J53" s="528" t="n"/>
      <c r="K53" s="528" t="n"/>
      <c r="L53" s="529" t="n"/>
      <c r="M53" s="529" t="n"/>
      <c r="N53" s="530" t="n"/>
      <c r="O53" s="531" t="n"/>
      <c r="P53" s="527" t="n"/>
      <c r="Q53" s="528" t="n"/>
      <c r="R53" s="528" t="n"/>
      <c r="S53" s="528" t="n"/>
      <c r="T53" s="543" t="n"/>
      <c r="U53" s="534" t="n"/>
      <c r="V53" s="516" t="n"/>
      <c r="W53" s="535" t="n"/>
      <c r="X53" s="536" t="n"/>
      <c r="Y53" s="519" t="n"/>
      <c r="Z53" s="683" t="n"/>
      <c r="AA53" s="684" t="n"/>
      <c r="AB53" s="684" t="n"/>
      <c r="AC53" s="684" t="n"/>
      <c r="AD53" s="685" t="n"/>
      <c r="AE53" s="686" t="n"/>
      <c r="AF53" s="684" t="n"/>
      <c r="AG53" s="687" t="n"/>
      <c r="AH53" s="687" t="n"/>
      <c r="AI53" s="684" t="n"/>
      <c r="AJ53" s="686" t="n"/>
      <c r="AK53" s="687" t="n"/>
      <c r="AL53" s="687" t="n"/>
      <c r="AM53" s="687" t="n"/>
      <c r="AN53" s="688" t="n"/>
      <c r="AO53" s="686" t="n"/>
      <c r="AP53" s="689" t="n"/>
      <c r="AQ53" s="689" t="n"/>
      <c r="AR53" s="689" t="n"/>
      <c r="AS53" s="690" t="n"/>
      <c r="AT53" s="691">
        <f>IF(AJ53&lt;&gt;"",(IF(AV53="到貨","",(AJ53-TODAY()))),"")</f>
        <v/>
      </c>
      <c r="AU53" s="692">
        <f>IF(AO53&lt;&gt;"",(AO53-AE53),"")</f>
        <v/>
      </c>
      <c r="AV53" s="86">
        <f>IF(AI53&lt;&gt;"",IF(AS53&lt;&gt;"","到貨","5次發包中"),IF(AH53&lt;&gt;"",IF(AR53&lt;&gt;"","到貨","4次發包中"),IF(AG53&lt;&gt;"",IF(AQ53&lt;&gt;"","到貨","3次發包中"),IF(AF53&lt;&gt;"",IF(AP53&lt;&gt;"","到貨","2次發包中"),IF(AE53&lt;&gt;"",IF(AO53&lt;&gt;"","到貨","發包中"),"")))))</f>
        <v/>
      </c>
      <c r="AW53" s="86">
        <f>IF(OR($AW$6=Y53),$AW$6,"")</f>
        <v/>
      </c>
      <c r="AX53" s="87">
        <f t="array" ref="AX53">IF(OR(AV53:AW53={"到貨","庫存"}),"完成","")</f>
        <v/>
      </c>
      <c r="AY53" s="92">
        <f>E53*$M$1</f>
        <v/>
      </c>
    </row>
    <row r="54" outlineLevel="1" ht="14.25" customHeight="1">
      <c r="A54" s="67" t="n">
        <v>49</v>
      </c>
      <c r="B54" s="526" t="n"/>
      <c r="C54" s="393" t="n"/>
      <c r="D54" s="427" t="n"/>
      <c r="E54" s="526" t="n"/>
      <c r="F54" s="526" t="n"/>
      <c r="G54" s="527" t="n"/>
      <c r="H54" s="393" t="n"/>
      <c r="I54" s="528" t="n"/>
      <c r="J54" s="528" t="n"/>
      <c r="K54" s="528" t="n"/>
      <c r="L54" s="529" t="n"/>
      <c r="M54" s="529" t="n"/>
      <c r="N54" s="530" t="n"/>
      <c r="O54" s="531" t="n"/>
      <c r="P54" s="527" t="n"/>
      <c r="Q54" s="528" t="n"/>
      <c r="R54" s="528" t="n"/>
      <c r="S54" s="528" t="n"/>
      <c r="T54" s="543" t="n"/>
      <c r="U54" s="534" t="n"/>
      <c r="V54" s="516" t="n"/>
      <c r="W54" s="535" t="n"/>
      <c r="X54" s="536" t="n"/>
      <c r="Y54" s="519" t="n"/>
      <c r="Z54" s="683" t="n"/>
      <c r="AA54" s="684" t="n"/>
      <c r="AB54" s="684" t="n"/>
      <c r="AC54" s="684" t="n"/>
      <c r="AD54" s="685" t="n"/>
      <c r="AE54" s="686" t="n"/>
      <c r="AF54" s="684" t="n"/>
      <c r="AG54" s="687" t="n"/>
      <c r="AH54" s="687" t="n"/>
      <c r="AI54" s="684" t="n"/>
      <c r="AJ54" s="686" t="n"/>
      <c r="AK54" s="687" t="n"/>
      <c r="AL54" s="687" t="n"/>
      <c r="AM54" s="687" t="n"/>
      <c r="AN54" s="688" t="n"/>
      <c r="AO54" s="686" t="n"/>
      <c r="AP54" s="689" t="n"/>
      <c r="AQ54" s="689" t="n"/>
      <c r="AR54" s="689" t="n"/>
      <c r="AS54" s="690" t="n"/>
      <c r="AT54" s="691">
        <f>IF(AJ54&lt;&gt;"",(IF(AV54="到貨","",(AJ54-TODAY()))),"")</f>
        <v/>
      </c>
      <c r="AU54" s="692">
        <f>IF(AO54&lt;&gt;"",(AO54-AE54),"")</f>
        <v/>
      </c>
      <c r="AV54" s="86">
        <f>IF(AI54&lt;&gt;"",IF(AS54&lt;&gt;"","到貨","5次發包中"),IF(AH54&lt;&gt;"",IF(AR54&lt;&gt;"","到貨","4次發包中"),IF(AG54&lt;&gt;"",IF(AQ54&lt;&gt;"","到貨","3次發包中"),IF(AF54&lt;&gt;"",IF(AP54&lt;&gt;"","到貨","2次發包中"),IF(AE54&lt;&gt;"",IF(AO54&lt;&gt;"","到貨","發包中"),"")))))</f>
        <v/>
      </c>
      <c r="AW54" s="86">
        <f>IF(OR($AW$6=Y54),$AW$6,"")</f>
        <v/>
      </c>
      <c r="AX54" s="87">
        <f t="array" ref="AX54">IF(OR(AV54:AW54={"到貨","庫存"}),"完成","")</f>
        <v/>
      </c>
      <c r="AY54" s="92">
        <f>E54*$M$1</f>
        <v/>
      </c>
    </row>
    <row r="55" outlineLevel="1" ht="14.25" customHeight="1">
      <c r="A55" s="67" t="n">
        <v>50</v>
      </c>
      <c r="B55" s="526" t="n"/>
      <c r="C55" s="393" t="n"/>
      <c r="D55" s="427" t="n"/>
      <c r="E55" s="526" t="n"/>
      <c r="F55" s="526" t="n"/>
      <c r="G55" s="527" t="n"/>
      <c r="H55" s="393" t="n"/>
      <c r="I55" s="528" t="n"/>
      <c r="J55" s="528" t="n"/>
      <c r="K55" s="528" t="n"/>
      <c r="L55" s="529" t="n"/>
      <c r="M55" s="529" t="n"/>
      <c r="N55" s="530" t="n"/>
      <c r="O55" s="531" t="n"/>
      <c r="P55" s="527" t="n"/>
      <c r="Q55" s="528" t="n"/>
      <c r="R55" s="528" t="n"/>
      <c r="S55" s="528" t="n"/>
      <c r="T55" s="543" t="n"/>
      <c r="U55" s="534" t="n"/>
      <c r="V55" s="516" t="n"/>
      <c r="W55" s="535" t="n"/>
      <c r="X55" s="536" t="n"/>
      <c r="Y55" s="519" t="n"/>
      <c r="Z55" s="683" t="n"/>
      <c r="AA55" s="684" t="n"/>
      <c r="AB55" s="684" t="n"/>
      <c r="AC55" s="684" t="n"/>
      <c r="AD55" s="685" t="n"/>
      <c r="AE55" s="686" t="n"/>
      <c r="AF55" s="684" t="n"/>
      <c r="AG55" s="687" t="n"/>
      <c r="AH55" s="687" t="n"/>
      <c r="AI55" s="684" t="n"/>
      <c r="AJ55" s="686" t="n"/>
      <c r="AK55" s="687" t="n"/>
      <c r="AL55" s="687" t="n"/>
      <c r="AM55" s="687" t="n"/>
      <c r="AN55" s="688" t="n"/>
      <c r="AO55" s="686" t="n"/>
      <c r="AP55" s="689" t="n"/>
      <c r="AQ55" s="689" t="n"/>
      <c r="AR55" s="689" t="n"/>
      <c r="AS55" s="690" t="n"/>
      <c r="AT55" s="691">
        <f>IF(AJ55&lt;&gt;"",(IF(AV55="到貨","",(AJ55-TODAY()))),"")</f>
        <v/>
      </c>
      <c r="AU55" s="692">
        <f>IF(AO55&lt;&gt;"",(AO55-AE55),"")</f>
        <v/>
      </c>
      <c r="AV55" s="86">
        <f>IF(AI55&lt;&gt;"",IF(AS55&lt;&gt;"","到貨","5次發包中"),IF(AH55&lt;&gt;"",IF(AR55&lt;&gt;"","到貨","4次發包中"),IF(AG55&lt;&gt;"",IF(AQ55&lt;&gt;"","到貨","3次發包中"),IF(AF55&lt;&gt;"",IF(AP55&lt;&gt;"","到貨","2次發包中"),IF(AE55&lt;&gt;"",IF(AO55&lt;&gt;"","到貨","發包中"),"")))))</f>
        <v/>
      </c>
      <c r="AW55" s="86">
        <f>IF(OR($AW$6=Y55),$AW$6,"")</f>
        <v/>
      </c>
      <c r="AX55" s="87">
        <f t="array" ref="AX55">IF(OR(AV55:AW55={"到貨","庫存"}),"完成","")</f>
        <v/>
      </c>
      <c r="AY55" s="92">
        <f>E55*$M$1</f>
        <v/>
      </c>
    </row>
    <row r="56" outlineLevel="1" ht="14.25" customHeight="1">
      <c r="A56" s="67" t="n">
        <v>51</v>
      </c>
      <c r="B56" s="526" t="n"/>
      <c r="C56" s="393" t="n"/>
      <c r="D56" s="427" t="n"/>
      <c r="E56" s="526" t="n"/>
      <c r="F56" s="526" t="n"/>
      <c r="G56" s="527" t="n"/>
      <c r="H56" s="393" t="n"/>
      <c r="I56" s="528" t="n"/>
      <c r="J56" s="528" t="n"/>
      <c r="K56" s="528" t="n"/>
      <c r="L56" s="529" t="n"/>
      <c r="M56" s="529" t="n"/>
      <c r="N56" s="530" t="n"/>
      <c r="O56" s="531" t="n"/>
      <c r="P56" s="527" t="n"/>
      <c r="Q56" s="528" t="n"/>
      <c r="R56" s="528" t="n"/>
      <c r="S56" s="528" t="n"/>
      <c r="T56" s="543" t="n"/>
      <c r="U56" s="534" t="n"/>
      <c r="V56" s="516" t="n"/>
      <c r="W56" s="535" t="n"/>
      <c r="X56" s="536" t="n"/>
      <c r="Y56" s="519" t="n"/>
      <c r="Z56" s="683" t="n"/>
      <c r="AA56" s="684" t="n"/>
      <c r="AB56" s="684" t="n"/>
      <c r="AC56" s="684" t="n"/>
      <c r="AD56" s="685" t="n"/>
      <c r="AE56" s="686" t="n"/>
      <c r="AF56" s="684" t="n"/>
      <c r="AG56" s="687" t="n"/>
      <c r="AH56" s="687" t="n"/>
      <c r="AI56" s="684" t="n"/>
      <c r="AJ56" s="686" t="n"/>
      <c r="AK56" s="687" t="n"/>
      <c r="AL56" s="687" t="n"/>
      <c r="AM56" s="687" t="n"/>
      <c r="AN56" s="688" t="n"/>
      <c r="AO56" s="686" t="n"/>
      <c r="AP56" s="689" t="n"/>
      <c r="AQ56" s="689" t="n"/>
      <c r="AR56" s="689" t="n"/>
      <c r="AS56" s="690" t="n"/>
      <c r="AT56" s="691">
        <f>IF(AJ56&lt;&gt;"",(IF(AV56="到貨","",(AJ56-TODAY()))),"")</f>
        <v/>
      </c>
      <c r="AU56" s="692">
        <f>IF(AO56&lt;&gt;"",(AO56-AE56),"")</f>
        <v/>
      </c>
      <c r="AV56" s="86">
        <f>IF(AI56&lt;&gt;"",IF(AS56&lt;&gt;"","到貨","5次發包中"),IF(AH56&lt;&gt;"",IF(AR56&lt;&gt;"","到貨","4次發包中"),IF(AG56&lt;&gt;"",IF(AQ56&lt;&gt;"","到貨","3次發包中"),IF(AF56&lt;&gt;"",IF(AP56&lt;&gt;"","到貨","2次發包中"),IF(AE56&lt;&gt;"",IF(AO56&lt;&gt;"","到貨","發包中"),"")))))</f>
        <v/>
      </c>
      <c r="AW56" s="86">
        <f>IF(OR($AW$6=Y56),$AW$6,"")</f>
        <v/>
      </c>
      <c r="AX56" s="87">
        <f t="array" ref="AX56">IF(OR(AV56:AW56={"到貨","庫存"}),"完成","")</f>
        <v/>
      </c>
      <c r="AY56" s="92">
        <f>E56*$M$1</f>
        <v/>
      </c>
    </row>
    <row r="57" outlineLevel="1" ht="14.25" customHeight="1">
      <c r="A57" s="67" t="n">
        <v>52</v>
      </c>
      <c r="B57" s="526" t="n"/>
      <c r="C57" s="393" t="n"/>
      <c r="D57" s="427" t="n"/>
      <c r="E57" s="526" t="n"/>
      <c r="F57" s="526" t="n"/>
      <c r="G57" s="527" t="n"/>
      <c r="H57" s="393" t="n"/>
      <c r="I57" s="528" t="n"/>
      <c r="J57" s="528" t="n"/>
      <c r="K57" s="528" t="n"/>
      <c r="L57" s="529" t="n"/>
      <c r="M57" s="529" t="n"/>
      <c r="N57" s="530" t="n"/>
      <c r="O57" s="531" t="n"/>
      <c r="P57" s="527" t="n"/>
      <c r="Q57" s="528" t="n"/>
      <c r="R57" s="528" t="n"/>
      <c r="S57" s="528" t="n"/>
      <c r="T57" s="543" t="n"/>
      <c r="U57" s="534" t="n"/>
      <c r="V57" s="516" t="n"/>
      <c r="W57" s="535" t="n"/>
      <c r="X57" s="536" t="n"/>
      <c r="Y57" s="519" t="n"/>
      <c r="Z57" s="683" t="n"/>
      <c r="AA57" s="684" t="n"/>
      <c r="AB57" s="684" t="n"/>
      <c r="AC57" s="684" t="n"/>
      <c r="AD57" s="685" t="n"/>
      <c r="AE57" s="686" t="n"/>
      <c r="AF57" s="684" t="n"/>
      <c r="AG57" s="687" t="n"/>
      <c r="AH57" s="687" t="n"/>
      <c r="AI57" s="684" t="n"/>
      <c r="AJ57" s="686" t="n"/>
      <c r="AK57" s="687" t="n"/>
      <c r="AL57" s="687" t="n"/>
      <c r="AM57" s="687" t="n"/>
      <c r="AN57" s="688" t="n"/>
      <c r="AO57" s="686" t="n"/>
      <c r="AP57" s="689" t="n"/>
      <c r="AQ57" s="689" t="n"/>
      <c r="AR57" s="689" t="n"/>
      <c r="AS57" s="690" t="n"/>
      <c r="AT57" s="691">
        <f>IF(AJ57&lt;&gt;"",(IF(AV57="到貨","",(AJ57-TODAY()))),"")</f>
        <v/>
      </c>
      <c r="AU57" s="692">
        <f>IF(AO57&lt;&gt;"",(AO57-AE57),"")</f>
        <v/>
      </c>
      <c r="AV57" s="86">
        <f>IF(AI57&lt;&gt;"",IF(AS57&lt;&gt;"","到貨","5次發包中"),IF(AH57&lt;&gt;"",IF(AR57&lt;&gt;"","到貨","4次發包中"),IF(AG57&lt;&gt;"",IF(AQ57&lt;&gt;"","到貨","3次發包中"),IF(AF57&lt;&gt;"",IF(AP57&lt;&gt;"","到貨","2次發包中"),IF(AE57&lt;&gt;"",IF(AO57&lt;&gt;"","到貨","發包中"),"")))))</f>
        <v/>
      </c>
      <c r="AW57" s="86">
        <f>IF(OR($AW$6=Y57),$AW$6,"")</f>
        <v/>
      </c>
      <c r="AX57" s="87">
        <f t="array" ref="AX57">IF(OR(AV57:AW57={"到貨","庫存"}),"完成","")</f>
        <v/>
      </c>
      <c r="AY57" s="92">
        <f>E57*$M$1</f>
        <v/>
      </c>
    </row>
    <row r="58" outlineLevel="1" ht="14.25" customHeight="1">
      <c r="A58" s="67" t="n">
        <v>53</v>
      </c>
      <c r="B58" s="526" t="n"/>
      <c r="C58" s="393" t="n"/>
      <c r="D58" s="427" t="n"/>
      <c r="E58" s="526" t="n"/>
      <c r="F58" s="526" t="n"/>
      <c r="G58" s="527" t="n"/>
      <c r="H58" s="393" t="n"/>
      <c r="I58" s="528" t="n"/>
      <c r="J58" s="528" t="n"/>
      <c r="K58" s="528" t="n"/>
      <c r="L58" s="529" t="n"/>
      <c r="M58" s="529" t="n"/>
      <c r="N58" s="530" t="n"/>
      <c r="O58" s="531" t="n"/>
      <c r="P58" s="527" t="n"/>
      <c r="Q58" s="528" t="n"/>
      <c r="R58" s="528" t="n"/>
      <c r="S58" s="528" t="n"/>
      <c r="T58" s="543" t="n"/>
      <c r="U58" s="534" t="n"/>
      <c r="V58" s="516" t="n"/>
      <c r="W58" s="535" t="n"/>
      <c r="X58" s="536" t="n"/>
      <c r="Y58" s="519" t="n"/>
      <c r="Z58" s="683" t="n"/>
      <c r="AA58" s="684" t="n"/>
      <c r="AB58" s="684" t="n"/>
      <c r="AC58" s="684" t="n"/>
      <c r="AD58" s="685" t="n"/>
      <c r="AE58" s="686" t="n"/>
      <c r="AF58" s="684" t="n"/>
      <c r="AG58" s="687" t="n"/>
      <c r="AH58" s="687" t="n"/>
      <c r="AI58" s="684" t="n"/>
      <c r="AJ58" s="686" t="n"/>
      <c r="AK58" s="687" t="n"/>
      <c r="AL58" s="687" t="n"/>
      <c r="AM58" s="687" t="n"/>
      <c r="AN58" s="688" t="n"/>
      <c r="AO58" s="686" t="n"/>
      <c r="AP58" s="689" t="n"/>
      <c r="AQ58" s="689" t="n"/>
      <c r="AR58" s="689" t="n"/>
      <c r="AS58" s="690" t="n"/>
      <c r="AT58" s="691">
        <f>IF(AJ58&lt;&gt;"",(IF(AV58="到貨","",(AJ58-TODAY()))),"")</f>
        <v/>
      </c>
      <c r="AU58" s="692">
        <f>IF(AO58&lt;&gt;"",(AO58-AE58),"")</f>
        <v/>
      </c>
      <c r="AV58" s="86">
        <f>IF(AI58&lt;&gt;"",IF(AS58&lt;&gt;"","到貨","5次發包中"),IF(AH58&lt;&gt;"",IF(AR58&lt;&gt;"","到貨","4次發包中"),IF(AG58&lt;&gt;"",IF(AQ58&lt;&gt;"","到貨","3次發包中"),IF(AF58&lt;&gt;"",IF(AP58&lt;&gt;"","到貨","2次發包中"),IF(AE58&lt;&gt;"",IF(AO58&lt;&gt;"","到貨","發包中"),"")))))</f>
        <v/>
      </c>
      <c r="AW58" s="86">
        <f>IF(OR($AW$6=Y58),$AW$6,"")</f>
        <v/>
      </c>
      <c r="AX58" s="87">
        <f t="array" ref="AX58">IF(OR(AV58:AW58={"到貨","庫存"}),"完成","")</f>
        <v/>
      </c>
      <c r="AY58" s="92">
        <f>E58*$M$1</f>
        <v/>
      </c>
    </row>
    <row r="59" outlineLevel="1" ht="14.25" customHeight="1">
      <c r="A59" s="67" t="n">
        <v>54</v>
      </c>
      <c r="B59" s="526" t="n"/>
      <c r="C59" s="393" t="n"/>
      <c r="D59" s="427" t="n"/>
      <c r="E59" s="526" t="n"/>
      <c r="F59" s="526" t="n"/>
      <c r="G59" s="527" t="n"/>
      <c r="H59" s="393" t="n"/>
      <c r="I59" s="528" t="n"/>
      <c r="J59" s="528" t="n"/>
      <c r="K59" s="528" t="n"/>
      <c r="L59" s="529" t="n"/>
      <c r="M59" s="529" t="n"/>
      <c r="N59" s="530" t="n"/>
      <c r="O59" s="531" t="n"/>
      <c r="P59" s="527" t="n"/>
      <c r="Q59" s="528" t="n"/>
      <c r="R59" s="528" t="n"/>
      <c r="S59" s="528" t="n"/>
      <c r="T59" s="543" t="n"/>
      <c r="U59" s="534" t="n"/>
      <c r="V59" s="516" t="n"/>
      <c r="W59" s="535" t="n"/>
      <c r="X59" s="536" t="n"/>
      <c r="Y59" s="519" t="n"/>
      <c r="Z59" s="683" t="n"/>
      <c r="AA59" s="684" t="n"/>
      <c r="AB59" s="684" t="n"/>
      <c r="AC59" s="684" t="n"/>
      <c r="AD59" s="685" t="n"/>
      <c r="AE59" s="686" t="n"/>
      <c r="AF59" s="684" t="n"/>
      <c r="AG59" s="687" t="n"/>
      <c r="AH59" s="687" t="n"/>
      <c r="AI59" s="684" t="n"/>
      <c r="AJ59" s="686" t="n"/>
      <c r="AK59" s="687" t="n"/>
      <c r="AL59" s="687" t="n"/>
      <c r="AM59" s="687" t="n"/>
      <c r="AN59" s="688" t="n"/>
      <c r="AO59" s="686" t="n"/>
      <c r="AP59" s="689" t="n"/>
      <c r="AQ59" s="689" t="n"/>
      <c r="AR59" s="689" t="n"/>
      <c r="AS59" s="690" t="n"/>
      <c r="AT59" s="691">
        <f>IF(AJ59&lt;&gt;"",(IF(AV59="到貨","",(AJ59-TODAY()))),"")</f>
        <v/>
      </c>
      <c r="AU59" s="692">
        <f>IF(AO59&lt;&gt;"",(AO59-AE59),"")</f>
        <v/>
      </c>
      <c r="AV59" s="86">
        <f>IF(AI59&lt;&gt;"",IF(AS59&lt;&gt;"","到貨","5次發包中"),IF(AH59&lt;&gt;"",IF(AR59&lt;&gt;"","到貨","4次發包中"),IF(AG59&lt;&gt;"",IF(AQ59&lt;&gt;"","到貨","3次發包中"),IF(AF59&lt;&gt;"",IF(AP59&lt;&gt;"","到貨","2次發包中"),IF(AE59&lt;&gt;"",IF(AO59&lt;&gt;"","到貨","發包中"),"")))))</f>
        <v/>
      </c>
      <c r="AW59" s="86">
        <f>IF(OR($AW$6=Y59),$AW$6,"")</f>
        <v/>
      </c>
      <c r="AX59" s="87">
        <f t="array" ref="AX59">IF(OR(AV59:AW59={"到貨","庫存"}),"完成","")</f>
        <v/>
      </c>
      <c r="AY59" s="92">
        <f>E59*$M$1</f>
        <v/>
      </c>
    </row>
    <row r="60" outlineLevel="1" ht="14.25" customHeight="1">
      <c r="A60" s="67" t="n">
        <v>55</v>
      </c>
      <c r="B60" s="526" t="n"/>
      <c r="C60" s="393" t="n"/>
      <c r="D60" s="427" t="n"/>
      <c r="E60" s="526" t="n"/>
      <c r="F60" s="526" t="n"/>
      <c r="G60" s="527" t="n"/>
      <c r="H60" s="393" t="n"/>
      <c r="I60" s="528" t="n"/>
      <c r="J60" s="528" t="n"/>
      <c r="K60" s="528" t="n"/>
      <c r="L60" s="529" t="n"/>
      <c r="M60" s="529" t="n"/>
      <c r="N60" s="530" t="n"/>
      <c r="O60" s="531" t="n"/>
      <c r="P60" s="527" t="n"/>
      <c r="Q60" s="528" t="n"/>
      <c r="R60" s="528" t="n"/>
      <c r="S60" s="528" t="n"/>
      <c r="T60" s="543" t="n"/>
      <c r="U60" s="534" t="n"/>
      <c r="V60" s="516" t="n"/>
      <c r="W60" s="535" t="n"/>
      <c r="X60" s="536" t="n"/>
      <c r="Y60" s="519" t="n"/>
      <c r="Z60" s="683" t="n"/>
      <c r="AA60" s="684" t="n"/>
      <c r="AB60" s="684" t="n"/>
      <c r="AC60" s="684" t="n"/>
      <c r="AD60" s="685" t="n"/>
      <c r="AE60" s="686" t="n"/>
      <c r="AF60" s="684" t="n"/>
      <c r="AG60" s="687" t="n"/>
      <c r="AH60" s="687" t="n"/>
      <c r="AI60" s="684" t="n"/>
      <c r="AJ60" s="686" t="n"/>
      <c r="AK60" s="687" t="n"/>
      <c r="AL60" s="687" t="n"/>
      <c r="AM60" s="687" t="n"/>
      <c r="AN60" s="688" t="n"/>
      <c r="AO60" s="686" t="n"/>
      <c r="AP60" s="689" t="n"/>
      <c r="AQ60" s="689" t="n"/>
      <c r="AR60" s="689" t="n"/>
      <c r="AS60" s="690" t="n"/>
      <c r="AT60" s="691">
        <f>IF(AJ60&lt;&gt;"",(IF(AV60="到貨","",(AJ60-TODAY()))),"")</f>
        <v/>
      </c>
      <c r="AU60" s="692">
        <f>IF(AO60&lt;&gt;"",(AO60-AE60),"")</f>
        <v/>
      </c>
      <c r="AV60" s="86">
        <f>IF(AI60&lt;&gt;"",IF(AS60&lt;&gt;"","到貨","5次發包中"),IF(AH60&lt;&gt;"",IF(AR60&lt;&gt;"","到貨","4次發包中"),IF(AG60&lt;&gt;"",IF(AQ60&lt;&gt;"","到貨","3次發包中"),IF(AF60&lt;&gt;"",IF(AP60&lt;&gt;"","到貨","2次發包中"),IF(AE60&lt;&gt;"",IF(AO60&lt;&gt;"","到貨","發包中"),"")))))</f>
        <v/>
      </c>
      <c r="AW60" s="86">
        <f>IF(OR($AW$6=Y60),$AW$6,"")</f>
        <v/>
      </c>
      <c r="AX60" s="87">
        <f t="array" ref="AX60">IF(OR(AV60:AW60={"到貨","庫存"}),"完成","")</f>
        <v/>
      </c>
      <c r="AY60" s="92">
        <f>E60*$M$1</f>
        <v/>
      </c>
    </row>
    <row r="61" outlineLevel="1" ht="14.25" customHeight="1">
      <c r="A61" s="67" t="n">
        <v>56</v>
      </c>
      <c r="B61" s="526" t="n"/>
      <c r="C61" s="393" t="n"/>
      <c r="D61" s="427" t="n"/>
      <c r="E61" s="526" t="n"/>
      <c r="F61" s="526" t="n"/>
      <c r="G61" s="527" t="n"/>
      <c r="H61" s="393" t="n"/>
      <c r="I61" s="528" t="n"/>
      <c r="J61" s="528" t="n"/>
      <c r="K61" s="528" t="n"/>
      <c r="L61" s="529" t="n"/>
      <c r="M61" s="529" t="n"/>
      <c r="N61" s="530" t="n"/>
      <c r="O61" s="531" t="n"/>
      <c r="P61" s="527" t="n"/>
      <c r="Q61" s="528" t="n"/>
      <c r="R61" s="528" t="n"/>
      <c r="S61" s="528" t="n"/>
      <c r="T61" s="543" t="n"/>
      <c r="U61" s="534" t="n"/>
      <c r="V61" s="516" t="n"/>
      <c r="W61" s="535" t="n"/>
      <c r="X61" s="536" t="n"/>
      <c r="Y61" s="519" t="n"/>
      <c r="Z61" s="683" t="n"/>
      <c r="AA61" s="684" t="n"/>
      <c r="AB61" s="684" t="n"/>
      <c r="AC61" s="684" t="n"/>
      <c r="AD61" s="685" t="n"/>
      <c r="AE61" s="686" t="n"/>
      <c r="AF61" s="684" t="n"/>
      <c r="AG61" s="687" t="n"/>
      <c r="AH61" s="687" t="n"/>
      <c r="AI61" s="684" t="n"/>
      <c r="AJ61" s="686" t="n"/>
      <c r="AK61" s="687" t="n"/>
      <c r="AL61" s="687" t="n"/>
      <c r="AM61" s="687" t="n"/>
      <c r="AN61" s="688" t="n"/>
      <c r="AO61" s="686" t="n"/>
      <c r="AP61" s="689" t="n"/>
      <c r="AQ61" s="689" t="n"/>
      <c r="AR61" s="689" t="n"/>
      <c r="AS61" s="690" t="n"/>
      <c r="AT61" s="691">
        <f>IF(AJ61&lt;&gt;"",(IF(AV61="到貨","",(AJ61-TODAY()))),"")</f>
        <v/>
      </c>
      <c r="AU61" s="692">
        <f>IF(AO61&lt;&gt;"",(AO61-AE61),"")</f>
        <v/>
      </c>
      <c r="AV61" s="86">
        <f>IF(AI61&lt;&gt;"",IF(AS61&lt;&gt;"","到貨","5次發包中"),IF(AH61&lt;&gt;"",IF(AR61&lt;&gt;"","到貨","4次發包中"),IF(AG61&lt;&gt;"",IF(AQ61&lt;&gt;"","到貨","3次發包中"),IF(AF61&lt;&gt;"",IF(AP61&lt;&gt;"","到貨","2次發包中"),IF(AE61&lt;&gt;"",IF(AO61&lt;&gt;"","到貨","發包中"),"")))))</f>
        <v/>
      </c>
      <c r="AW61" s="86">
        <f>IF(OR($AW$6=Y61),$AW$6,"")</f>
        <v/>
      </c>
      <c r="AX61" s="87">
        <f t="array" ref="AX61">IF(OR(AV61:AW61={"到貨","庫存"}),"完成","")</f>
        <v/>
      </c>
      <c r="AY61" s="92">
        <f>E61*$M$1</f>
        <v/>
      </c>
    </row>
    <row r="62" outlineLevel="1" ht="14.25" customHeight="1">
      <c r="A62" s="67" t="n">
        <v>57</v>
      </c>
      <c r="B62" s="526" t="n"/>
      <c r="C62" s="393" t="n"/>
      <c r="D62" s="427" t="n"/>
      <c r="E62" s="526" t="n"/>
      <c r="F62" s="526" t="n"/>
      <c r="G62" s="527" t="n"/>
      <c r="H62" s="393" t="n"/>
      <c r="I62" s="528" t="n"/>
      <c r="J62" s="528" t="n"/>
      <c r="K62" s="528" t="n"/>
      <c r="L62" s="529" t="n"/>
      <c r="M62" s="529" t="n"/>
      <c r="N62" s="530" t="n"/>
      <c r="O62" s="531" t="n"/>
      <c r="P62" s="527" t="n"/>
      <c r="Q62" s="528" t="n"/>
      <c r="R62" s="528" t="n"/>
      <c r="S62" s="528" t="n"/>
      <c r="T62" s="543" t="n"/>
      <c r="U62" s="534" t="n"/>
      <c r="V62" s="516" t="n"/>
      <c r="W62" s="535" t="n"/>
      <c r="X62" s="536" t="n"/>
      <c r="Y62" s="519" t="n"/>
      <c r="Z62" s="683" t="n"/>
      <c r="AA62" s="684" t="n"/>
      <c r="AB62" s="684" t="n"/>
      <c r="AC62" s="684" t="n"/>
      <c r="AD62" s="685" t="n"/>
      <c r="AE62" s="686" t="n"/>
      <c r="AF62" s="684" t="n"/>
      <c r="AG62" s="687" t="n"/>
      <c r="AH62" s="687" t="n"/>
      <c r="AI62" s="684" t="n"/>
      <c r="AJ62" s="686" t="n"/>
      <c r="AK62" s="687" t="n"/>
      <c r="AL62" s="687" t="n"/>
      <c r="AM62" s="687" t="n"/>
      <c r="AN62" s="688" t="n"/>
      <c r="AO62" s="686" t="n"/>
      <c r="AP62" s="689" t="n"/>
      <c r="AQ62" s="689" t="n"/>
      <c r="AR62" s="689" t="n"/>
      <c r="AS62" s="690" t="n"/>
      <c r="AT62" s="691">
        <f>IF(AJ62&lt;&gt;"",(IF(AV62="到貨","",(AJ62-TODAY()))),"")</f>
        <v/>
      </c>
      <c r="AU62" s="692">
        <f>IF(AO62&lt;&gt;"",(AO62-AE62),"")</f>
        <v/>
      </c>
      <c r="AV62" s="86">
        <f>IF(AI62&lt;&gt;"",IF(AS62&lt;&gt;"","到貨","5次發包中"),IF(AH62&lt;&gt;"",IF(AR62&lt;&gt;"","到貨","4次發包中"),IF(AG62&lt;&gt;"",IF(AQ62&lt;&gt;"","到貨","3次發包中"),IF(AF62&lt;&gt;"",IF(AP62&lt;&gt;"","到貨","2次發包中"),IF(AE62&lt;&gt;"",IF(AO62&lt;&gt;"","到貨","發包中"),"")))))</f>
        <v/>
      </c>
      <c r="AW62" s="86">
        <f>IF(OR($AW$6=Y62),$AW$6,"")</f>
        <v/>
      </c>
      <c r="AX62" s="87">
        <f t="array" ref="AX62">IF(OR(AV62:AW62={"到貨","庫存"}),"完成","")</f>
        <v/>
      </c>
      <c r="AY62" s="92">
        <f>E62*$M$1</f>
        <v/>
      </c>
    </row>
    <row r="63" outlineLevel="1" ht="14.25" customHeight="1">
      <c r="A63" s="67" t="n">
        <v>58</v>
      </c>
      <c r="B63" s="526" t="n"/>
      <c r="C63" s="393" t="n"/>
      <c r="D63" s="427" t="n"/>
      <c r="E63" s="526" t="n"/>
      <c r="F63" s="526" t="n"/>
      <c r="G63" s="527" t="n"/>
      <c r="H63" s="393" t="n"/>
      <c r="I63" s="528" t="n"/>
      <c r="J63" s="528" t="n"/>
      <c r="K63" s="528" t="n"/>
      <c r="L63" s="529" t="n"/>
      <c r="M63" s="529" t="n"/>
      <c r="N63" s="530" t="n"/>
      <c r="O63" s="531" t="n"/>
      <c r="P63" s="527" t="n"/>
      <c r="Q63" s="528" t="n"/>
      <c r="R63" s="528" t="n"/>
      <c r="S63" s="528" t="n"/>
      <c r="T63" s="543" t="n"/>
      <c r="U63" s="534" t="n"/>
      <c r="V63" s="516" t="n"/>
      <c r="W63" s="535" t="n"/>
      <c r="X63" s="536" t="n"/>
      <c r="Y63" s="519" t="n"/>
      <c r="Z63" s="683" t="n"/>
      <c r="AA63" s="684" t="n"/>
      <c r="AB63" s="684" t="n"/>
      <c r="AC63" s="684" t="n"/>
      <c r="AD63" s="685" t="n"/>
      <c r="AE63" s="686" t="n"/>
      <c r="AF63" s="684" t="n"/>
      <c r="AG63" s="687" t="n"/>
      <c r="AH63" s="687" t="n"/>
      <c r="AI63" s="684" t="n"/>
      <c r="AJ63" s="686" t="n"/>
      <c r="AK63" s="687" t="n"/>
      <c r="AL63" s="687" t="n"/>
      <c r="AM63" s="687" t="n"/>
      <c r="AN63" s="688" t="n"/>
      <c r="AO63" s="686" t="n"/>
      <c r="AP63" s="689" t="n"/>
      <c r="AQ63" s="689" t="n"/>
      <c r="AR63" s="689" t="n"/>
      <c r="AS63" s="690" t="n"/>
      <c r="AT63" s="691">
        <f>IF(AJ63&lt;&gt;"",(IF(AV63="到貨","",(AJ63-TODAY()))),"")</f>
        <v/>
      </c>
      <c r="AU63" s="692">
        <f>IF(AO63&lt;&gt;"",(AO63-AE63),"")</f>
        <v/>
      </c>
      <c r="AV63" s="86">
        <f>IF(AI63&lt;&gt;"",IF(AS63&lt;&gt;"","到貨","5次發包中"),IF(AH63&lt;&gt;"",IF(AR63&lt;&gt;"","到貨","4次發包中"),IF(AG63&lt;&gt;"",IF(AQ63&lt;&gt;"","到貨","3次發包中"),IF(AF63&lt;&gt;"",IF(AP63&lt;&gt;"","到貨","2次發包中"),IF(AE63&lt;&gt;"",IF(AO63&lt;&gt;"","到貨","發包中"),"")))))</f>
        <v/>
      </c>
      <c r="AW63" s="86">
        <f>IF(OR($AW$6=Y63),$AW$6,"")</f>
        <v/>
      </c>
      <c r="AX63" s="87">
        <f t="array" ref="AX63">IF(OR(AV63:AW63={"到貨","庫存"}),"完成","")</f>
        <v/>
      </c>
      <c r="AY63" s="92">
        <f>E63*$M$1</f>
        <v/>
      </c>
    </row>
    <row r="64" outlineLevel="1" ht="14.25" customHeight="1">
      <c r="A64" s="67" t="n">
        <v>59</v>
      </c>
      <c r="B64" s="526" t="n"/>
      <c r="C64" s="393" t="n"/>
      <c r="D64" s="427" t="n"/>
      <c r="E64" s="526" t="n"/>
      <c r="F64" s="526" t="n"/>
      <c r="G64" s="527" t="n"/>
      <c r="H64" s="393" t="n"/>
      <c r="I64" s="528" t="n"/>
      <c r="J64" s="528" t="n"/>
      <c r="K64" s="528" t="n"/>
      <c r="L64" s="529" t="n"/>
      <c r="M64" s="529" t="n"/>
      <c r="N64" s="530" t="n"/>
      <c r="O64" s="531" t="n"/>
      <c r="P64" s="527" t="n"/>
      <c r="Q64" s="528" t="n"/>
      <c r="R64" s="528" t="n"/>
      <c r="S64" s="528" t="n"/>
      <c r="T64" s="543" t="n"/>
      <c r="U64" s="534" t="n"/>
      <c r="V64" s="516" t="n"/>
      <c r="W64" s="535" t="n"/>
      <c r="X64" s="536" t="n"/>
      <c r="Y64" s="519" t="n"/>
      <c r="Z64" s="683" t="n"/>
      <c r="AA64" s="684" t="n"/>
      <c r="AB64" s="684" t="n"/>
      <c r="AC64" s="684" t="n"/>
      <c r="AD64" s="685" t="n"/>
      <c r="AE64" s="686" t="n"/>
      <c r="AF64" s="684" t="n"/>
      <c r="AG64" s="687" t="n"/>
      <c r="AH64" s="687" t="n"/>
      <c r="AI64" s="684" t="n"/>
      <c r="AJ64" s="686" t="n"/>
      <c r="AK64" s="687" t="n"/>
      <c r="AL64" s="687" t="n"/>
      <c r="AM64" s="687" t="n"/>
      <c r="AN64" s="688" t="n"/>
      <c r="AO64" s="686" t="n"/>
      <c r="AP64" s="689" t="n"/>
      <c r="AQ64" s="689" t="n"/>
      <c r="AR64" s="689" t="n"/>
      <c r="AS64" s="690" t="n"/>
      <c r="AT64" s="691">
        <f>IF(AJ64&lt;&gt;"",(IF(AV64="到貨","",(AJ64-TODAY()))),"")</f>
        <v/>
      </c>
      <c r="AU64" s="692">
        <f>IF(AO64&lt;&gt;"",(AO64-AE64),"")</f>
        <v/>
      </c>
      <c r="AV64" s="86">
        <f>IF(AI64&lt;&gt;"",IF(AS64&lt;&gt;"","到貨","5次發包中"),IF(AH64&lt;&gt;"",IF(AR64&lt;&gt;"","到貨","4次發包中"),IF(AG64&lt;&gt;"",IF(AQ64&lt;&gt;"","到貨","3次發包中"),IF(AF64&lt;&gt;"",IF(AP64&lt;&gt;"","到貨","2次發包中"),IF(AE64&lt;&gt;"",IF(AO64&lt;&gt;"","到貨","發包中"),"")))))</f>
        <v/>
      </c>
      <c r="AW64" s="86">
        <f>IF(OR($AW$6=Y64),$AW$6,"")</f>
        <v/>
      </c>
      <c r="AX64" s="87">
        <f t="array" ref="AX64">IF(OR(AV64:AW64={"到貨","庫存"}),"完成","")</f>
        <v/>
      </c>
      <c r="AY64" s="92">
        <f>E64*$M$1</f>
        <v/>
      </c>
    </row>
    <row r="65" outlineLevel="1" ht="14.25" customHeight="1">
      <c r="A65" s="67" t="n">
        <v>60</v>
      </c>
      <c r="B65" s="526" t="n"/>
      <c r="C65" s="393" t="n"/>
      <c r="D65" s="427" t="n"/>
      <c r="E65" s="526" t="n"/>
      <c r="F65" s="526" t="n"/>
      <c r="G65" s="527" t="n"/>
      <c r="H65" s="393" t="n"/>
      <c r="I65" s="528" t="n"/>
      <c r="J65" s="528" t="n"/>
      <c r="K65" s="528" t="n"/>
      <c r="L65" s="529" t="n"/>
      <c r="M65" s="529" t="n"/>
      <c r="N65" s="530" t="n"/>
      <c r="O65" s="531" t="n"/>
      <c r="P65" s="527" t="n"/>
      <c r="Q65" s="528" t="n"/>
      <c r="R65" s="528" t="n"/>
      <c r="S65" s="528" t="n"/>
      <c r="T65" s="543" t="n"/>
      <c r="U65" s="534" t="n"/>
      <c r="V65" s="516" t="n"/>
      <c r="W65" s="535" t="n"/>
      <c r="X65" s="536" t="n"/>
      <c r="Y65" s="519" t="n"/>
      <c r="Z65" s="683" t="n"/>
      <c r="AA65" s="684" t="n"/>
      <c r="AB65" s="684" t="n"/>
      <c r="AC65" s="684" t="n"/>
      <c r="AD65" s="685" t="n"/>
      <c r="AE65" s="686" t="n"/>
      <c r="AF65" s="684" t="n"/>
      <c r="AG65" s="687" t="n"/>
      <c r="AH65" s="687" t="n"/>
      <c r="AI65" s="684" t="n"/>
      <c r="AJ65" s="686" t="n"/>
      <c r="AK65" s="687" t="n"/>
      <c r="AL65" s="687" t="n"/>
      <c r="AM65" s="687" t="n"/>
      <c r="AN65" s="688" t="n"/>
      <c r="AO65" s="686" t="n"/>
      <c r="AP65" s="689" t="n"/>
      <c r="AQ65" s="689" t="n"/>
      <c r="AR65" s="689" t="n"/>
      <c r="AS65" s="690" t="n"/>
      <c r="AT65" s="691">
        <f>IF(AJ65&lt;&gt;"",(IF(AV65="到貨","",(AJ65-TODAY()))),"")</f>
        <v/>
      </c>
      <c r="AU65" s="692">
        <f>IF(AO65&lt;&gt;"",(AO65-AE65),"")</f>
        <v/>
      </c>
      <c r="AV65" s="86">
        <f>IF(AI65&lt;&gt;"",IF(AS65&lt;&gt;"","到貨","5次發包中"),IF(AH65&lt;&gt;"",IF(AR65&lt;&gt;"","到貨","4次發包中"),IF(AG65&lt;&gt;"",IF(AQ65&lt;&gt;"","到貨","3次發包中"),IF(AF65&lt;&gt;"",IF(AP65&lt;&gt;"","到貨","2次發包中"),IF(AE65&lt;&gt;"",IF(AO65&lt;&gt;"","到貨","發包中"),"")))))</f>
        <v/>
      </c>
      <c r="AW65" s="86">
        <f>IF(OR($AW$6=Y65),$AW$6,"")</f>
        <v/>
      </c>
      <c r="AX65" s="87">
        <f t="array" ref="AX65">IF(OR(AV65:AW65={"到貨","庫存"}),"完成","")</f>
        <v/>
      </c>
      <c r="AY65" s="92">
        <f>E65*$M$1</f>
        <v/>
      </c>
    </row>
    <row r="66" outlineLevel="1" ht="14.25" customHeight="1">
      <c r="A66" s="67" t="n">
        <v>61</v>
      </c>
      <c r="B66" s="526" t="n"/>
      <c r="C66" s="393" t="n"/>
      <c r="D66" s="427" t="n"/>
      <c r="E66" s="526" t="n"/>
      <c r="F66" s="526" t="n"/>
      <c r="G66" s="527" t="n"/>
      <c r="H66" s="393" t="n"/>
      <c r="I66" s="528" t="n"/>
      <c r="J66" s="528" t="n"/>
      <c r="K66" s="528" t="n"/>
      <c r="L66" s="529" t="n"/>
      <c r="M66" s="529" t="n"/>
      <c r="N66" s="530" t="n"/>
      <c r="O66" s="531" t="n"/>
      <c r="P66" s="527" t="n"/>
      <c r="Q66" s="528" t="n"/>
      <c r="R66" s="528" t="n"/>
      <c r="S66" s="528" t="n"/>
      <c r="T66" s="543" t="n"/>
      <c r="U66" s="534" t="n"/>
      <c r="V66" s="516" t="n"/>
      <c r="W66" s="535" t="n"/>
      <c r="X66" s="536" t="n"/>
      <c r="Y66" s="519" t="n"/>
      <c r="Z66" s="683" t="n"/>
      <c r="AA66" s="684" t="n"/>
      <c r="AB66" s="684" t="n"/>
      <c r="AC66" s="684" t="n"/>
      <c r="AD66" s="685" t="n"/>
      <c r="AE66" s="686" t="n"/>
      <c r="AF66" s="684" t="n"/>
      <c r="AG66" s="687" t="n"/>
      <c r="AH66" s="687" t="n"/>
      <c r="AI66" s="684" t="n"/>
      <c r="AJ66" s="686" t="n"/>
      <c r="AK66" s="687" t="n"/>
      <c r="AL66" s="687" t="n"/>
      <c r="AM66" s="687" t="n"/>
      <c r="AN66" s="688" t="n"/>
      <c r="AO66" s="686" t="n"/>
      <c r="AP66" s="689" t="n"/>
      <c r="AQ66" s="689" t="n"/>
      <c r="AR66" s="689" t="n"/>
      <c r="AS66" s="690" t="n"/>
      <c r="AT66" s="691">
        <f>IF(AJ66&lt;&gt;"",(IF(AV66="到貨","",(AJ66-TODAY()))),"")</f>
        <v/>
      </c>
      <c r="AU66" s="692">
        <f>IF(AO66&lt;&gt;"",(AO66-AE66),"")</f>
        <v/>
      </c>
      <c r="AV66" s="86">
        <f>IF(AI66&lt;&gt;"",IF(AS66&lt;&gt;"","到貨","5次發包中"),IF(AH66&lt;&gt;"",IF(AR66&lt;&gt;"","到貨","4次發包中"),IF(AG66&lt;&gt;"",IF(AQ66&lt;&gt;"","到貨","3次發包中"),IF(AF66&lt;&gt;"",IF(AP66&lt;&gt;"","到貨","2次發包中"),IF(AE66&lt;&gt;"",IF(AO66&lt;&gt;"","到貨","發包中"),"")))))</f>
        <v/>
      </c>
      <c r="AW66" s="86">
        <f>IF(OR($AW$6=Y66),$AW$6,"")</f>
        <v/>
      </c>
      <c r="AX66" s="87">
        <f t="array" ref="AX66">IF(OR(AV66:AW66={"到貨","庫存"}),"完成","")</f>
        <v/>
      </c>
      <c r="AY66" s="92">
        <f>E66*$M$1</f>
        <v/>
      </c>
    </row>
    <row r="67" outlineLevel="1" ht="14.25" customHeight="1">
      <c r="A67" s="67" t="n">
        <v>62</v>
      </c>
      <c r="B67" s="526" t="n"/>
      <c r="C67" s="393" t="n"/>
      <c r="D67" s="427" t="n"/>
      <c r="E67" s="526" t="n"/>
      <c r="F67" s="526" t="n"/>
      <c r="G67" s="527" t="n"/>
      <c r="H67" s="393" t="n"/>
      <c r="I67" s="528" t="n"/>
      <c r="J67" s="528" t="n"/>
      <c r="K67" s="528" t="n"/>
      <c r="L67" s="529" t="n"/>
      <c r="M67" s="529" t="n"/>
      <c r="N67" s="530" t="n"/>
      <c r="O67" s="531" t="n"/>
      <c r="P67" s="527" t="n"/>
      <c r="Q67" s="528" t="n"/>
      <c r="R67" s="528" t="n"/>
      <c r="S67" s="528" t="n"/>
      <c r="T67" s="543" t="n"/>
      <c r="U67" s="534" t="n"/>
      <c r="V67" s="516" t="n"/>
      <c r="W67" s="535" t="n"/>
      <c r="X67" s="536" t="n"/>
      <c r="Y67" s="519" t="n"/>
      <c r="Z67" s="683" t="n"/>
      <c r="AA67" s="684" t="n"/>
      <c r="AB67" s="684" t="n"/>
      <c r="AC67" s="684" t="n"/>
      <c r="AD67" s="685" t="n"/>
      <c r="AE67" s="686" t="n"/>
      <c r="AF67" s="684" t="n"/>
      <c r="AG67" s="687" t="n"/>
      <c r="AH67" s="687" t="n"/>
      <c r="AI67" s="684" t="n"/>
      <c r="AJ67" s="686" t="n"/>
      <c r="AK67" s="687" t="n"/>
      <c r="AL67" s="687" t="n"/>
      <c r="AM67" s="687" t="n"/>
      <c r="AN67" s="688" t="n"/>
      <c r="AO67" s="686" t="n"/>
      <c r="AP67" s="689" t="n"/>
      <c r="AQ67" s="689" t="n"/>
      <c r="AR67" s="689" t="n"/>
      <c r="AS67" s="690" t="n"/>
      <c r="AT67" s="691">
        <f>IF(AJ67&lt;&gt;"",(IF(AV67="到貨","",(AJ67-TODAY()))),"")</f>
        <v/>
      </c>
      <c r="AU67" s="692">
        <f>IF(AO67&lt;&gt;"",(AO67-AE67),"")</f>
        <v/>
      </c>
      <c r="AV67" s="86">
        <f>IF(AI67&lt;&gt;"",IF(AS67&lt;&gt;"","到貨","5次發包中"),IF(AH67&lt;&gt;"",IF(AR67&lt;&gt;"","到貨","4次發包中"),IF(AG67&lt;&gt;"",IF(AQ67&lt;&gt;"","到貨","3次發包中"),IF(AF67&lt;&gt;"",IF(AP67&lt;&gt;"","到貨","2次發包中"),IF(AE67&lt;&gt;"",IF(AO67&lt;&gt;"","到貨","發包中"),"")))))</f>
        <v/>
      </c>
      <c r="AW67" s="86">
        <f>IF(OR($AW$6=Y67),$AW$6,"")</f>
        <v/>
      </c>
      <c r="AX67" s="87">
        <f t="array" ref="AX67">IF(OR(AV67:AW67={"到貨","庫存"}),"完成","")</f>
        <v/>
      </c>
      <c r="AY67" s="92">
        <f>E67*$M$1</f>
        <v/>
      </c>
    </row>
    <row r="68" outlineLevel="1" ht="14.25" customHeight="1">
      <c r="A68" s="67" t="n">
        <v>63</v>
      </c>
      <c r="B68" s="526" t="n"/>
      <c r="C68" s="393" t="n"/>
      <c r="D68" s="427" t="n"/>
      <c r="E68" s="526" t="n"/>
      <c r="F68" s="526" t="n"/>
      <c r="G68" s="527" t="n"/>
      <c r="H68" s="393" t="n"/>
      <c r="I68" s="528" t="n"/>
      <c r="J68" s="528" t="n"/>
      <c r="K68" s="528" t="n"/>
      <c r="L68" s="529" t="n"/>
      <c r="M68" s="529" t="n"/>
      <c r="N68" s="530" t="n"/>
      <c r="O68" s="531" t="n"/>
      <c r="P68" s="527" t="n"/>
      <c r="Q68" s="528" t="n"/>
      <c r="R68" s="528" t="n"/>
      <c r="S68" s="528" t="n"/>
      <c r="T68" s="543" t="n"/>
      <c r="U68" s="534" t="n"/>
      <c r="V68" s="516" t="n"/>
      <c r="W68" s="535" t="n"/>
      <c r="X68" s="536" t="n"/>
      <c r="Y68" s="519" t="n"/>
      <c r="Z68" s="683" t="n"/>
      <c r="AA68" s="684" t="n"/>
      <c r="AB68" s="684" t="n"/>
      <c r="AC68" s="684" t="n"/>
      <c r="AD68" s="685" t="n"/>
      <c r="AE68" s="686" t="n"/>
      <c r="AF68" s="684" t="n"/>
      <c r="AG68" s="687" t="n"/>
      <c r="AH68" s="687" t="n"/>
      <c r="AI68" s="684" t="n"/>
      <c r="AJ68" s="686" t="n"/>
      <c r="AK68" s="687" t="n"/>
      <c r="AL68" s="687" t="n"/>
      <c r="AM68" s="687" t="n"/>
      <c r="AN68" s="688" t="n"/>
      <c r="AO68" s="686" t="n"/>
      <c r="AP68" s="689" t="n"/>
      <c r="AQ68" s="689" t="n"/>
      <c r="AR68" s="689" t="n"/>
      <c r="AS68" s="690" t="n"/>
      <c r="AT68" s="691">
        <f>IF(AJ68&lt;&gt;"",(IF(AV68="到貨","",(AJ68-TODAY()))),"")</f>
        <v/>
      </c>
      <c r="AU68" s="692">
        <f>IF(AO68&lt;&gt;"",(AO68-AE68),"")</f>
        <v/>
      </c>
      <c r="AV68" s="86">
        <f>IF(AI68&lt;&gt;"",IF(AS68&lt;&gt;"","到貨","5次發包中"),IF(AH68&lt;&gt;"",IF(AR68&lt;&gt;"","到貨","4次發包中"),IF(AG68&lt;&gt;"",IF(AQ68&lt;&gt;"","到貨","3次發包中"),IF(AF68&lt;&gt;"",IF(AP68&lt;&gt;"","到貨","2次發包中"),IF(AE68&lt;&gt;"",IF(AO68&lt;&gt;"","到貨","發包中"),"")))))</f>
        <v/>
      </c>
      <c r="AW68" s="86">
        <f>IF(OR($AW$6=Y68),$AW$6,"")</f>
        <v/>
      </c>
      <c r="AX68" s="87">
        <f t="array" ref="AX68">IF(OR(AV68:AW68={"到貨","庫存"}),"完成","")</f>
        <v/>
      </c>
      <c r="AY68" s="92">
        <f>E68*$M$1</f>
        <v/>
      </c>
    </row>
    <row r="69" outlineLevel="1" ht="14.25" customHeight="1">
      <c r="A69" s="67" t="n">
        <v>64</v>
      </c>
      <c r="B69" s="526" t="n"/>
      <c r="C69" s="393" t="n"/>
      <c r="D69" s="427" t="n"/>
      <c r="E69" s="526" t="n"/>
      <c r="F69" s="526" t="n"/>
      <c r="G69" s="527" t="n"/>
      <c r="H69" s="393" t="n"/>
      <c r="I69" s="528" t="n"/>
      <c r="J69" s="528" t="n"/>
      <c r="K69" s="528" t="n"/>
      <c r="L69" s="529" t="n"/>
      <c r="M69" s="529" t="n"/>
      <c r="N69" s="530" t="n"/>
      <c r="O69" s="531" t="n"/>
      <c r="P69" s="527" t="n"/>
      <c r="Q69" s="528" t="n"/>
      <c r="R69" s="528" t="n"/>
      <c r="S69" s="528" t="n"/>
      <c r="T69" s="543" t="n"/>
      <c r="U69" s="534" t="n"/>
      <c r="V69" s="516" t="n"/>
      <c r="W69" s="535" t="n"/>
      <c r="X69" s="536" t="n"/>
      <c r="Y69" s="519" t="n"/>
      <c r="Z69" s="683" t="n"/>
      <c r="AA69" s="684" t="n"/>
      <c r="AB69" s="684" t="n"/>
      <c r="AC69" s="684" t="n"/>
      <c r="AD69" s="685" t="n"/>
      <c r="AE69" s="686" t="n"/>
      <c r="AF69" s="684" t="n"/>
      <c r="AG69" s="687" t="n"/>
      <c r="AH69" s="687" t="n"/>
      <c r="AI69" s="684" t="n"/>
      <c r="AJ69" s="686" t="n"/>
      <c r="AK69" s="687" t="n"/>
      <c r="AL69" s="687" t="n"/>
      <c r="AM69" s="687" t="n"/>
      <c r="AN69" s="688" t="n"/>
      <c r="AO69" s="686" t="n"/>
      <c r="AP69" s="689" t="n"/>
      <c r="AQ69" s="689" t="n"/>
      <c r="AR69" s="689" t="n"/>
      <c r="AS69" s="690" t="n"/>
      <c r="AT69" s="691">
        <f>IF(AJ69&lt;&gt;"",(IF(AV69="到貨","",(AJ69-TODAY()))),"")</f>
        <v/>
      </c>
      <c r="AU69" s="692">
        <f>IF(AO69&lt;&gt;"",(AO69-AE69),"")</f>
        <v/>
      </c>
      <c r="AV69" s="86">
        <f>IF(AI69&lt;&gt;"",IF(AS69&lt;&gt;"","到貨","5次發包中"),IF(AH69&lt;&gt;"",IF(AR69&lt;&gt;"","到貨","4次發包中"),IF(AG69&lt;&gt;"",IF(AQ69&lt;&gt;"","到貨","3次發包中"),IF(AF69&lt;&gt;"",IF(AP69&lt;&gt;"","到貨","2次發包中"),IF(AE69&lt;&gt;"",IF(AO69&lt;&gt;"","到貨","發包中"),"")))))</f>
        <v/>
      </c>
      <c r="AW69" s="86">
        <f>IF(OR($AW$6=Y69),$AW$6,"")</f>
        <v/>
      </c>
      <c r="AX69" s="87">
        <f t="array" ref="AX69">IF(OR(AV69:AW69={"到貨","庫存"}),"完成","")</f>
        <v/>
      </c>
      <c r="AY69" s="92">
        <f>E69*$M$1</f>
        <v/>
      </c>
    </row>
    <row r="70" outlineLevel="1" ht="14.25" customHeight="1">
      <c r="A70" s="67" t="n">
        <v>65</v>
      </c>
      <c r="B70" s="526" t="n"/>
      <c r="C70" s="393" t="n"/>
      <c r="D70" s="427" t="n"/>
      <c r="E70" s="526" t="n"/>
      <c r="F70" s="526" t="n"/>
      <c r="G70" s="527" t="n"/>
      <c r="H70" s="393" t="n"/>
      <c r="I70" s="528" t="n"/>
      <c r="J70" s="528" t="n"/>
      <c r="K70" s="528" t="n"/>
      <c r="L70" s="529" t="n"/>
      <c r="M70" s="529" t="n"/>
      <c r="N70" s="530" t="n"/>
      <c r="O70" s="531" t="n"/>
      <c r="P70" s="527" t="n"/>
      <c r="Q70" s="528" t="n"/>
      <c r="R70" s="528" t="n"/>
      <c r="S70" s="528" t="n"/>
      <c r="T70" s="543" t="n"/>
      <c r="U70" s="534" t="n"/>
      <c r="V70" s="516" t="n"/>
      <c r="W70" s="535" t="n"/>
      <c r="X70" s="536" t="n"/>
      <c r="Y70" s="519" t="n"/>
      <c r="Z70" s="683" t="n"/>
      <c r="AA70" s="684" t="n"/>
      <c r="AB70" s="684" t="n"/>
      <c r="AC70" s="684" t="n"/>
      <c r="AD70" s="685" t="n"/>
      <c r="AE70" s="686" t="n"/>
      <c r="AF70" s="684" t="n"/>
      <c r="AG70" s="687" t="n"/>
      <c r="AH70" s="687" t="n"/>
      <c r="AI70" s="684" t="n"/>
      <c r="AJ70" s="686" t="n"/>
      <c r="AK70" s="687" t="n"/>
      <c r="AL70" s="687" t="n"/>
      <c r="AM70" s="687" t="n"/>
      <c r="AN70" s="688" t="n"/>
      <c r="AO70" s="686" t="n"/>
      <c r="AP70" s="689" t="n"/>
      <c r="AQ70" s="689" t="n"/>
      <c r="AR70" s="689" t="n"/>
      <c r="AS70" s="690" t="n"/>
      <c r="AT70" s="691">
        <f>IF(AJ70&lt;&gt;"",(IF(AV70="到貨","",(AJ70-TODAY()))),"")</f>
        <v/>
      </c>
      <c r="AU70" s="692">
        <f>IF(AO70&lt;&gt;"",(AO70-AE70),"")</f>
        <v/>
      </c>
      <c r="AV70" s="86">
        <f>IF(AI70&lt;&gt;"",IF(AS70&lt;&gt;"","到貨","5次發包中"),IF(AH70&lt;&gt;"",IF(AR70&lt;&gt;"","到貨","4次發包中"),IF(AG70&lt;&gt;"",IF(AQ70&lt;&gt;"","到貨","3次發包中"),IF(AF70&lt;&gt;"",IF(AP70&lt;&gt;"","到貨","2次發包中"),IF(AE70&lt;&gt;"",IF(AO70&lt;&gt;"","到貨","發包中"),"")))))</f>
        <v/>
      </c>
      <c r="AW70" s="86">
        <f>IF(OR($AW$6=Y70),$AW$6,"")</f>
        <v/>
      </c>
      <c r="AX70" s="87">
        <f t="array" ref="AX70">IF(OR(AV70:AW70={"到貨","庫存"}),"完成","")</f>
        <v/>
      </c>
      <c r="AY70" s="92">
        <f>E70*$M$1</f>
        <v/>
      </c>
    </row>
    <row r="71" outlineLevel="1" ht="14.25" customHeight="1">
      <c r="A71" s="67" t="n">
        <v>66</v>
      </c>
      <c r="B71" s="526" t="n"/>
      <c r="C71" s="393" t="n"/>
      <c r="D71" s="427" t="n"/>
      <c r="E71" s="526" t="n"/>
      <c r="F71" s="526" t="n"/>
      <c r="G71" s="527" t="n"/>
      <c r="H71" s="393" t="n"/>
      <c r="I71" s="528" t="n"/>
      <c r="J71" s="528" t="n"/>
      <c r="K71" s="528" t="n"/>
      <c r="L71" s="529" t="n"/>
      <c r="M71" s="529" t="n"/>
      <c r="N71" s="530" t="n"/>
      <c r="O71" s="531" t="n"/>
      <c r="P71" s="527" t="n"/>
      <c r="Q71" s="528" t="n"/>
      <c r="R71" s="528" t="n"/>
      <c r="S71" s="528" t="n"/>
      <c r="T71" s="543" t="n"/>
      <c r="U71" s="534" t="n"/>
      <c r="V71" s="516" t="n"/>
      <c r="W71" s="535" t="n"/>
      <c r="X71" s="536" t="n"/>
      <c r="Y71" s="519" t="n"/>
      <c r="Z71" s="683" t="n"/>
      <c r="AA71" s="684" t="n"/>
      <c r="AB71" s="684" t="n"/>
      <c r="AC71" s="684" t="n"/>
      <c r="AD71" s="685" t="n"/>
      <c r="AE71" s="686" t="n"/>
      <c r="AF71" s="684" t="n"/>
      <c r="AG71" s="687" t="n"/>
      <c r="AH71" s="687" t="n"/>
      <c r="AI71" s="684" t="n"/>
      <c r="AJ71" s="686" t="n"/>
      <c r="AK71" s="687" t="n"/>
      <c r="AL71" s="687" t="n"/>
      <c r="AM71" s="687" t="n"/>
      <c r="AN71" s="688" t="n"/>
      <c r="AO71" s="686" t="n"/>
      <c r="AP71" s="689" t="n"/>
      <c r="AQ71" s="689" t="n"/>
      <c r="AR71" s="689" t="n"/>
      <c r="AS71" s="690" t="n"/>
      <c r="AT71" s="691">
        <f>IF(AJ71&lt;&gt;"",(IF(AV71="到貨","",(AJ71-TODAY()))),"")</f>
        <v/>
      </c>
      <c r="AU71" s="692">
        <f>IF(AO71&lt;&gt;"",(AO71-AE71),"")</f>
        <v/>
      </c>
      <c r="AV71" s="86">
        <f>IF(AI71&lt;&gt;"",IF(AS71&lt;&gt;"","到貨","5次發包中"),IF(AH71&lt;&gt;"",IF(AR71&lt;&gt;"","到貨","4次發包中"),IF(AG71&lt;&gt;"",IF(AQ71&lt;&gt;"","到貨","3次發包中"),IF(AF71&lt;&gt;"",IF(AP71&lt;&gt;"","到貨","2次發包中"),IF(AE71&lt;&gt;"",IF(AO71&lt;&gt;"","到貨","發包中"),"")))))</f>
        <v/>
      </c>
      <c r="AW71" s="86">
        <f>IF(OR($AW$6=Y71),$AW$6,"")</f>
        <v/>
      </c>
      <c r="AX71" s="87">
        <f t="array" ref="AX71">IF(OR(AV71:AW71={"到貨","庫存"}),"完成","")</f>
        <v/>
      </c>
      <c r="AY71" s="92">
        <f>E71*$M$1</f>
        <v/>
      </c>
    </row>
    <row r="72" outlineLevel="1" ht="14.25" customHeight="1">
      <c r="A72" s="67" t="n">
        <v>67</v>
      </c>
      <c r="B72" s="526" t="n"/>
      <c r="C72" s="393" t="n"/>
      <c r="D72" s="427" t="n"/>
      <c r="E72" s="526" t="n"/>
      <c r="F72" s="526" t="n"/>
      <c r="G72" s="527" t="n"/>
      <c r="H72" s="393" t="n"/>
      <c r="I72" s="528" t="n"/>
      <c r="J72" s="528" t="n"/>
      <c r="K72" s="528" t="n"/>
      <c r="L72" s="529" t="n"/>
      <c r="M72" s="529" t="n"/>
      <c r="N72" s="530" t="n"/>
      <c r="O72" s="531" t="n"/>
      <c r="P72" s="527" t="n"/>
      <c r="Q72" s="528" t="n"/>
      <c r="R72" s="528" t="n"/>
      <c r="S72" s="528" t="n"/>
      <c r="T72" s="543" t="n"/>
      <c r="U72" s="534" t="n"/>
      <c r="V72" s="516" t="n"/>
      <c r="W72" s="535" t="n"/>
      <c r="X72" s="536" t="n"/>
      <c r="Y72" s="519" t="n"/>
      <c r="Z72" s="683" t="n"/>
      <c r="AA72" s="684" t="n"/>
      <c r="AB72" s="684" t="n"/>
      <c r="AC72" s="684" t="n"/>
      <c r="AD72" s="685" t="n"/>
      <c r="AE72" s="686" t="n"/>
      <c r="AF72" s="684" t="n"/>
      <c r="AG72" s="687" t="n"/>
      <c r="AH72" s="687" t="n"/>
      <c r="AI72" s="684" t="n"/>
      <c r="AJ72" s="686" t="n"/>
      <c r="AK72" s="687" t="n"/>
      <c r="AL72" s="687" t="n"/>
      <c r="AM72" s="687" t="n"/>
      <c r="AN72" s="688" t="n"/>
      <c r="AO72" s="686" t="n"/>
      <c r="AP72" s="689" t="n"/>
      <c r="AQ72" s="689" t="n"/>
      <c r="AR72" s="689" t="n"/>
      <c r="AS72" s="690" t="n"/>
      <c r="AT72" s="691">
        <f>IF(AJ72&lt;&gt;"",(IF(AV72="到貨","",(AJ72-TODAY()))),"")</f>
        <v/>
      </c>
      <c r="AU72" s="692">
        <f>IF(AO72&lt;&gt;"",(AO72-AE72),"")</f>
        <v/>
      </c>
      <c r="AV72" s="86">
        <f>IF(AI72&lt;&gt;"",IF(AS72&lt;&gt;"","到貨","5次發包中"),IF(AH72&lt;&gt;"",IF(AR72&lt;&gt;"","到貨","4次發包中"),IF(AG72&lt;&gt;"",IF(AQ72&lt;&gt;"","到貨","3次發包中"),IF(AF72&lt;&gt;"",IF(AP72&lt;&gt;"","到貨","2次發包中"),IF(AE72&lt;&gt;"",IF(AO72&lt;&gt;"","到貨","發包中"),"")))))</f>
        <v/>
      </c>
      <c r="AW72" s="86">
        <f>IF(OR($AW$6=Y72),$AW$6,"")</f>
        <v/>
      </c>
      <c r="AX72" s="87">
        <f t="array" ref="AX72">IF(OR(AV72:AW72={"到貨","庫存"}),"完成","")</f>
        <v/>
      </c>
      <c r="AY72" s="92">
        <f>E72*$M$1</f>
        <v/>
      </c>
    </row>
    <row r="73" outlineLevel="1" ht="14.25" customHeight="1">
      <c r="A73" s="67" t="n">
        <v>68</v>
      </c>
      <c r="B73" s="526" t="n"/>
      <c r="C73" s="393" t="n"/>
      <c r="D73" s="427" t="n"/>
      <c r="E73" s="526" t="n"/>
      <c r="F73" s="526" t="n"/>
      <c r="G73" s="527" t="n"/>
      <c r="H73" s="393" t="n"/>
      <c r="I73" s="528" t="n"/>
      <c r="J73" s="528" t="n"/>
      <c r="K73" s="528" t="n"/>
      <c r="L73" s="529" t="n"/>
      <c r="M73" s="529" t="n"/>
      <c r="N73" s="530" t="n"/>
      <c r="O73" s="531" t="n"/>
      <c r="P73" s="527" t="n"/>
      <c r="Q73" s="528" t="n"/>
      <c r="R73" s="528" t="n"/>
      <c r="S73" s="528" t="n"/>
      <c r="T73" s="543" t="n"/>
      <c r="U73" s="534" t="n"/>
      <c r="V73" s="516" t="n"/>
      <c r="W73" s="535" t="n"/>
      <c r="X73" s="536" t="n"/>
      <c r="Y73" s="519" t="n"/>
      <c r="Z73" s="683" t="n"/>
      <c r="AA73" s="684" t="n"/>
      <c r="AB73" s="684" t="n"/>
      <c r="AC73" s="684" t="n"/>
      <c r="AD73" s="685" t="n"/>
      <c r="AE73" s="686" t="n"/>
      <c r="AF73" s="684" t="n"/>
      <c r="AG73" s="687" t="n"/>
      <c r="AH73" s="687" t="n"/>
      <c r="AI73" s="684" t="n"/>
      <c r="AJ73" s="686" t="n"/>
      <c r="AK73" s="687" t="n"/>
      <c r="AL73" s="687" t="n"/>
      <c r="AM73" s="687" t="n"/>
      <c r="AN73" s="688" t="n"/>
      <c r="AO73" s="686" t="n"/>
      <c r="AP73" s="689" t="n"/>
      <c r="AQ73" s="689" t="n"/>
      <c r="AR73" s="689" t="n"/>
      <c r="AS73" s="690" t="n"/>
      <c r="AT73" s="691">
        <f>IF(AJ73&lt;&gt;"",(IF(AV73="到貨","",(AJ73-TODAY()))),"")</f>
        <v/>
      </c>
      <c r="AU73" s="692">
        <f>IF(AO73&lt;&gt;"",(AO73-AE73),"")</f>
        <v/>
      </c>
      <c r="AV73" s="86">
        <f>IF(AI73&lt;&gt;"",IF(AS73&lt;&gt;"","到貨","5次發包中"),IF(AH73&lt;&gt;"",IF(AR73&lt;&gt;"","到貨","4次發包中"),IF(AG73&lt;&gt;"",IF(AQ73&lt;&gt;"","到貨","3次發包中"),IF(AF73&lt;&gt;"",IF(AP73&lt;&gt;"","到貨","2次發包中"),IF(AE73&lt;&gt;"",IF(AO73&lt;&gt;"","到貨","發包中"),"")))))</f>
        <v/>
      </c>
      <c r="AW73" s="86">
        <f>IF(OR($AW$6=Y73),$AW$6,"")</f>
        <v/>
      </c>
      <c r="AX73" s="87">
        <f t="array" ref="AX73">IF(OR(AV73:AW73={"到貨","庫存"}),"完成","")</f>
        <v/>
      </c>
      <c r="AY73" s="92">
        <f>E73*$M$1</f>
        <v/>
      </c>
    </row>
    <row r="74" outlineLevel="1" ht="14.25" customHeight="1">
      <c r="A74" s="67" t="n">
        <v>69</v>
      </c>
      <c r="B74" s="526" t="n"/>
      <c r="C74" s="393" t="n"/>
      <c r="D74" s="427" t="n"/>
      <c r="E74" s="526" t="n"/>
      <c r="F74" s="526" t="n"/>
      <c r="G74" s="527" t="n"/>
      <c r="H74" s="393" t="n"/>
      <c r="I74" s="528" t="n"/>
      <c r="J74" s="528" t="n"/>
      <c r="K74" s="528" t="n"/>
      <c r="L74" s="529" t="n"/>
      <c r="M74" s="529" t="n"/>
      <c r="N74" s="530" t="n"/>
      <c r="O74" s="531" t="n"/>
      <c r="P74" s="527" t="n"/>
      <c r="Q74" s="528" t="n"/>
      <c r="R74" s="528" t="n"/>
      <c r="S74" s="528" t="n"/>
      <c r="T74" s="543" t="n"/>
      <c r="U74" s="534" t="n"/>
      <c r="V74" s="516" t="n"/>
      <c r="W74" s="535" t="n"/>
      <c r="X74" s="536" t="n"/>
      <c r="Y74" s="519" t="n"/>
      <c r="Z74" s="683" t="n"/>
      <c r="AA74" s="684" t="n"/>
      <c r="AB74" s="684" t="n"/>
      <c r="AC74" s="684" t="n"/>
      <c r="AD74" s="685" t="n"/>
      <c r="AE74" s="686" t="n"/>
      <c r="AF74" s="684" t="n"/>
      <c r="AG74" s="687" t="n"/>
      <c r="AH74" s="687" t="n"/>
      <c r="AI74" s="684" t="n"/>
      <c r="AJ74" s="686" t="n"/>
      <c r="AK74" s="687" t="n"/>
      <c r="AL74" s="687" t="n"/>
      <c r="AM74" s="687" t="n"/>
      <c r="AN74" s="688" t="n"/>
      <c r="AO74" s="686" t="n"/>
      <c r="AP74" s="689" t="n"/>
      <c r="AQ74" s="689" t="n"/>
      <c r="AR74" s="689" t="n"/>
      <c r="AS74" s="690" t="n"/>
      <c r="AT74" s="691">
        <f>IF(AJ74&lt;&gt;"",(IF(AV74="到貨","",(AJ74-TODAY()))),"")</f>
        <v/>
      </c>
      <c r="AU74" s="692">
        <f>IF(AO74&lt;&gt;"",(AO74-AE74),"")</f>
        <v/>
      </c>
      <c r="AV74" s="86">
        <f>IF(AI74&lt;&gt;"",IF(AS74&lt;&gt;"","到貨","5次發包中"),IF(AH74&lt;&gt;"",IF(AR74&lt;&gt;"","到貨","4次發包中"),IF(AG74&lt;&gt;"",IF(AQ74&lt;&gt;"","到貨","3次發包中"),IF(AF74&lt;&gt;"",IF(AP74&lt;&gt;"","到貨","2次發包中"),IF(AE74&lt;&gt;"",IF(AO74&lt;&gt;"","到貨","發包中"),"")))))</f>
        <v/>
      </c>
      <c r="AW74" s="86">
        <f>IF(OR($AW$6=Y74),$AW$6,"")</f>
        <v/>
      </c>
      <c r="AX74" s="87">
        <f t="array" ref="AX74">IF(OR(AV74:AW74={"到貨","庫存"}),"完成","")</f>
        <v/>
      </c>
      <c r="AY74" s="92">
        <f>E74*$M$1</f>
        <v/>
      </c>
    </row>
    <row r="75" outlineLevel="1" ht="14.25" customHeight="1">
      <c r="A75" s="67" t="n">
        <v>70</v>
      </c>
      <c r="B75" s="526" t="n"/>
      <c r="C75" s="393" t="n"/>
      <c r="D75" s="427" t="n"/>
      <c r="E75" s="526" t="n"/>
      <c r="F75" s="526" t="n"/>
      <c r="G75" s="527" t="n"/>
      <c r="H75" s="393" t="n"/>
      <c r="I75" s="528" t="n"/>
      <c r="J75" s="528" t="n"/>
      <c r="K75" s="528" t="n"/>
      <c r="L75" s="529" t="n"/>
      <c r="M75" s="529" t="n"/>
      <c r="N75" s="530" t="n"/>
      <c r="O75" s="531" t="n"/>
      <c r="P75" s="527" t="n"/>
      <c r="Q75" s="528" t="n"/>
      <c r="R75" s="528" t="n"/>
      <c r="S75" s="528" t="n"/>
      <c r="T75" s="543" t="n"/>
      <c r="U75" s="534" t="n"/>
      <c r="V75" s="516" t="n"/>
      <c r="W75" s="535" t="n"/>
      <c r="X75" s="536" t="n"/>
      <c r="Y75" s="519" t="n"/>
      <c r="Z75" s="683" t="n"/>
      <c r="AA75" s="684" t="n"/>
      <c r="AB75" s="684" t="n"/>
      <c r="AC75" s="684" t="n"/>
      <c r="AD75" s="685" t="n"/>
      <c r="AE75" s="686" t="n"/>
      <c r="AF75" s="684" t="n"/>
      <c r="AG75" s="687" t="n"/>
      <c r="AH75" s="687" t="n"/>
      <c r="AI75" s="684" t="n"/>
      <c r="AJ75" s="686" t="n"/>
      <c r="AK75" s="687" t="n"/>
      <c r="AL75" s="687" t="n"/>
      <c r="AM75" s="687" t="n"/>
      <c r="AN75" s="688" t="n"/>
      <c r="AO75" s="686" t="n"/>
      <c r="AP75" s="689" t="n"/>
      <c r="AQ75" s="689" t="n"/>
      <c r="AR75" s="689" t="n"/>
      <c r="AS75" s="690" t="n"/>
      <c r="AT75" s="691">
        <f>IF(AJ75&lt;&gt;"",(IF(AV75="到貨","",(AJ75-TODAY()))),"")</f>
        <v/>
      </c>
      <c r="AU75" s="692">
        <f>IF(AO75&lt;&gt;"",(AO75-AE75),"")</f>
        <v/>
      </c>
      <c r="AV75" s="86">
        <f>IF(AI75&lt;&gt;"",IF(AS75&lt;&gt;"","到貨","5次發包中"),IF(AH75&lt;&gt;"",IF(AR75&lt;&gt;"","到貨","4次發包中"),IF(AG75&lt;&gt;"",IF(AQ75&lt;&gt;"","到貨","3次發包中"),IF(AF75&lt;&gt;"",IF(AP75&lt;&gt;"","到貨","2次發包中"),IF(AE75&lt;&gt;"",IF(AO75&lt;&gt;"","到貨","發包中"),"")))))</f>
        <v/>
      </c>
      <c r="AW75" s="86">
        <f>IF(OR($AW$6=Y75),$AW$6,"")</f>
        <v/>
      </c>
      <c r="AX75" s="87">
        <f t="array" ref="AX75">IF(OR(AV75:AW75={"到貨","庫存"}),"完成","")</f>
        <v/>
      </c>
      <c r="AY75" s="92">
        <f>E75*$M$1</f>
        <v/>
      </c>
    </row>
    <row r="76" outlineLevel="1" ht="14.25" customHeight="1">
      <c r="A76" s="67" t="n">
        <v>71</v>
      </c>
      <c r="B76" s="526" t="n"/>
      <c r="C76" s="393" t="n"/>
      <c r="D76" s="427" t="n"/>
      <c r="E76" s="526" t="n"/>
      <c r="F76" s="526" t="n"/>
      <c r="G76" s="527" t="n"/>
      <c r="H76" s="393" t="n"/>
      <c r="I76" s="528" t="n"/>
      <c r="J76" s="528" t="n"/>
      <c r="K76" s="528" t="n"/>
      <c r="L76" s="529" t="n"/>
      <c r="M76" s="529" t="n"/>
      <c r="N76" s="530" t="n"/>
      <c r="O76" s="531" t="n"/>
      <c r="P76" s="527" t="n"/>
      <c r="Q76" s="528" t="n"/>
      <c r="R76" s="528" t="n"/>
      <c r="S76" s="528" t="n"/>
      <c r="T76" s="543" t="n"/>
      <c r="U76" s="534" t="n"/>
      <c r="V76" s="516" t="n"/>
      <c r="W76" s="535" t="n"/>
      <c r="X76" s="536" t="n"/>
      <c r="Y76" s="519" t="n"/>
      <c r="Z76" s="683" t="n"/>
      <c r="AA76" s="684" t="n"/>
      <c r="AB76" s="684" t="n"/>
      <c r="AC76" s="684" t="n"/>
      <c r="AD76" s="685" t="n"/>
      <c r="AE76" s="686" t="n"/>
      <c r="AF76" s="684" t="n"/>
      <c r="AG76" s="687" t="n"/>
      <c r="AH76" s="687" t="n"/>
      <c r="AI76" s="684" t="n"/>
      <c r="AJ76" s="686" t="n"/>
      <c r="AK76" s="687" t="n"/>
      <c r="AL76" s="687" t="n"/>
      <c r="AM76" s="687" t="n"/>
      <c r="AN76" s="688" t="n"/>
      <c r="AO76" s="686" t="n"/>
      <c r="AP76" s="689" t="n"/>
      <c r="AQ76" s="689" t="n"/>
      <c r="AR76" s="689" t="n"/>
      <c r="AS76" s="690" t="n"/>
      <c r="AT76" s="691">
        <f>IF(AJ76&lt;&gt;"",(IF(AV76="到貨","",(AJ76-TODAY()))),"")</f>
        <v/>
      </c>
      <c r="AU76" s="692">
        <f>IF(AO76&lt;&gt;"",(AO76-AE76),"")</f>
        <v/>
      </c>
      <c r="AV76" s="86">
        <f>IF(AI76&lt;&gt;"",IF(AS76&lt;&gt;"","到貨","5次發包中"),IF(AH76&lt;&gt;"",IF(AR76&lt;&gt;"","到貨","4次發包中"),IF(AG76&lt;&gt;"",IF(AQ76&lt;&gt;"","到貨","3次發包中"),IF(AF76&lt;&gt;"",IF(AP76&lt;&gt;"","到貨","2次發包中"),IF(AE76&lt;&gt;"",IF(AO76&lt;&gt;"","到貨","發包中"),"")))))</f>
        <v/>
      </c>
      <c r="AW76" s="86">
        <f>IF(OR($AW$6=Y76),$AW$6,"")</f>
        <v/>
      </c>
      <c r="AX76" s="87">
        <f t="array" ref="AX76">IF(OR(AV76:AW76={"到貨","庫存"}),"完成","")</f>
        <v/>
      </c>
      <c r="AY76" s="92">
        <f>E76*$M$1</f>
        <v/>
      </c>
    </row>
    <row r="77" outlineLevel="1" ht="14.25" customHeight="1">
      <c r="A77" s="67" t="n">
        <v>72</v>
      </c>
      <c r="B77" s="526" t="n"/>
      <c r="C77" s="393" t="n"/>
      <c r="D77" s="427" t="n"/>
      <c r="E77" s="526" t="n"/>
      <c r="F77" s="526" t="n"/>
      <c r="G77" s="527" t="n"/>
      <c r="H77" s="393" t="n"/>
      <c r="I77" s="528" t="n"/>
      <c r="J77" s="528" t="n"/>
      <c r="K77" s="528" t="n"/>
      <c r="L77" s="529" t="n"/>
      <c r="M77" s="529" t="n"/>
      <c r="N77" s="530" t="n"/>
      <c r="O77" s="531" t="n"/>
      <c r="P77" s="527" t="n"/>
      <c r="Q77" s="528" t="n"/>
      <c r="R77" s="528" t="n"/>
      <c r="S77" s="528" t="n"/>
      <c r="T77" s="543" t="n"/>
      <c r="U77" s="534" t="n"/>
      <c r="V77" s="516" t="n"/>
      <c r="W77" s="535" t="n"/>
      <c r="X77" s="536" t="n"/>
      <c r="Y77" s="519" t="n"/>
      <c r="Z77" s="683" t="n"/>
      <c r="AA77" s="684" t="n"/>
      <c r="AB77" s="684" t="n"/>
      <c r="AC77" s="684" t="n"/>
      <c r="AD77" s="685" t="n"/>
      <c r="AE77" s="686" t="n"/>
      <c r="AF77" s="684" t="n"/>
      <c r="AG77" s="687" t="n"/>
      <c r="AH77" s="687" t="n"/>
      <c r="AI77" s="684" t="n"/>
      <c r="AJ77" s="686" t="n"/>
      <c r="AK77" s="687" t="n"/>
      <c r="AL77" s="687" t="n"/>
      <c r="AM77" s="687" t="n"/>
      <c r="AN77" s="688" t="n"/>
      <c r="AO77" s="686" t="n"/>
      <c r="AP77" s="689" t="n"/>
      <c r="AQ77" s="689" t="n"/>
      <c r="AR77" s="689" t="n"/>
      <c r="AS77" s="690" t="n"/>
      <c r="AT77" s="691">
        <f>IF(AJ77&lt;&gt;"",(IF(AV77="到貨","",(AJ77-TODAY()))),"")</f>
        <v/>
      </c>
      <c r="AU77" s="692">
        <f>IF(AO77&lt;&gt;"",(AO77-AE77),"")</f>
        <v/>
      </c>
      <c r="AV77" s="86">
        <f>IF(AI77&lt;&gt;"",IF(AS77&lt;&gt;"","到貨","5次發包中"),IF(AH77&lt;&gt;"",IF(AR77&lt;&gt;"","到貨","4次發包中"),IF(AG77&lt;&gt;"",IF(AQ77&lt;&gt;"","到貨","3次發包中"),IF(AF77&lt;&gt;"",IF(AP77&lt;&gt;"","到貨","2次發包中"),IF(AE77&lt;&gt;"",IF(AO77&lt;&gt;"","到貨","發包中"),"")))))</f>
        <v/>
      </c>
      <c r="AW77" s="86">
        <f>IF(OR($AW$6=Y77),$AW$6,"")</f>
        <v/>
      </c>
      <c r="AX77" s="87">
        <f t="array" ref="AX77">IF(OR(AV77:AW77={"到貨","庫存"}),"完成","")</f>
        <v/>
      </c>
      <c r="AY77" s="92">
        <f>E77*$M$1</f>
        <v/>
      </c>
    </row>
    <row r="78" outlineLevel="1" ht="14.25" customHeight="1">
      <c r="A78" s="67" t="n">
        <v>73</v>
      </c>
      <c r="B78" s="526" t="n"/>
      <c r="C78" s="393" t="n"/>
      <c r="D78" s="427" t="n"/>
      <c r="E78" s="526" t="n"/>
      <c r="F78" s="526" t="n"/>
      <c r="G78" s="527" t="n"/>
      <c r="H78" s="393" t="n"/>
      <c r="I78" s="528" t="n"/>
      <c r="J78" s="528" t="n"/>
      <c r="K78" s="528" t="n"/>
      <c r="L78" s="529" t="n"/>
      <c r="M78" s="529" t="n"/>
      <c r="N78" s="530" t="n"/>
      <c r="O78" s="531" t="n"/>
      <c r="P78" s="527" t="n"/>
      <c r="Q78" s="528" t="n"/>
      <c r="R78" s="528" t="n"/>
      <c r="S78" s="528" t="n"/>
      <c r="T78" s="543" t="n"/>
      <c r="U78" s="534" t="n"/>
      <c r="V78" s="516" t="n"/>
      <c r="W78" s="535" t="n"/>
      <c r="X78" s="536" t="n"/>
      <c r="Y78" s="519" t="n"/>
      <c r="Z78" s="683" t="n"/>
      <c r="AA78" s="684" t="n"/>
      <c r="AB78" s="684" t="n"/>
      <c r="AC78" s="684" t="n"/>
      <c r="AD78" s="685" t="n"/>
      <c r="AE78" s="686" t="n"/>
      <c r="AF78" s="684" t="n"/>
      <c r="AG78" s="687" t="n"/>
      <c r="AH78" s="687" t="n"/>
      <c r="AI78" s="684" t="n"/>
      <c r="AJ78" s="686" t="n"/>
      <c r="AK78" s="687" t="n"/>
      <c r="AL78" s="687" t="n"/>
      <c r="AM78" s="687" t="n"/>
      <c r="AN78" s="688" t="n"/>
      <c r="AO78" s="686" t="n"/>
      <c r="AP78" s="689" t="n"/>
      <c r="AQ78" s="689" t="n"/>
      <c r="AR78" s="689" t="n"/>
      <c r="AS78" s="690" t="n"/>
      <c r="AT78" s="691">
        <f>IF(AJ78&lt;&gt;"",(IF(AV78="到貨","",(AJ78-TODAY()))),"")</f>
        <v/>
      </c>
      <c r="AU78" s="692">
        <f>IF(AO78&lt;&gt;"",(AO78-AE78),"")</f>
        <v/>
      </c>
      <c r="AV78" s="86">
        <f>IF(AI78&lt;&gt;"",IF(AS78&lt;&gt;"","到貨","5次發包中"),IF(AH78&lt;&gt;"",IF(AR78&lt;&gt;"","到貨","4次發包中"),IF(AG78&lt;&gt;"",IF(AQ78&lt;&gt;"","到貨","3次發包中"),IF(AF78&lt;&gt;"",IF(AP78&lt;&gt;"","到貨","2次發包中"),IF(AE78&lt;&gt;"",IF(AO78&lt;&gt;"","到貨","發包中"),"")))))</f>
        <v/>
      </c>
      <c r="AW78" s="86">
        <f>IF(OR($AW$6=Y78),$AW$6,"")</f>
        <v/>
      </c>
      <c r="AX78" s="87">
        <f t="array" ref="AX78">IF(OR(AV78:AW78={"到貨","庫存"}),"完成","")</f>
        <v/>
      </c>
      <c r="AY78" s="92">
        <f>E78*$M$1</f>
        <v/>
      </c>
    </row>
    <row r="79" outlineLevel="1" ht="14.25" customHeight="1">
      <c r="A79" s="67" t="n">
        <v>74</v>
      </c>
      <c r="B79" s="526" t="n"/>
      <c r="C79" s="393" t="n"/>
      <c r="D79" s="427" t="n"/>
      <c r="E79" s="526" t="n"/>
      <c r="F79" s="526" t="n"/>
      <c r="G79" s="527" t="n"/>
      <c r="H79" s="393" t="n"/>
      <c r="I79" s="528" t="n"/>
      <c r="J79" s="528" t="n"/>
      <c r="K79" s="528" t="n"/>
      <c r="L79" s="529" t="n"/>
      <c r="M79" s="529" t="n"/>
      <c r="N79" s="530" t="n"/>
      <c r="O79" s="531" t="n"/>
      <c r="P79" s="527" t="n"/>
      <c r="Q79" s="528" t="n"/>
      <c r="R79" s="528" t="n"/>
      <c r="S79" s="528" t="n"/>
      <c r="T79" s="543" t="n"/>
      <c r="U79" s="534" t="n"/>
      <c r="V79" s="516" t="n"/>
      <c r="W79" s="535" t="n"/>
      <c r="X79" s="536" t="n"/>
      <c r="Y79" s="519" t="n"/>
      <c r="Z79" s="683" t="n"/>
      <c r="AA79" s="684" t="n"/>
      <c r="AB79" s="684" t="n"/>
      <c r="AC79" s="684" t="n"/>
      <c r="AD79" s="685" t="n"/>
      <c r="AE79" s="686" t="n"/>
      <c r="AF79" s="684" t="n"/>
      <c r="AG79" s="687" t="n"/>
      <c r="AH79" s="687" t="n"/>
      <c r="AI79" s="684" t="n"/>
      <c r="AJ79" s="686" t="n"/>
      <c r="AK79" s="687" t="n"/>
      <c r="AL79" s="687" t="n"/>
      <c r="AM79" s="687" t="n"/>
      <c r="AN79" s="688" t="n"/>
      <c r="AO79" s="686" t="n"/>
      <c r="AP79" s="689" t="n"/>
      <c r="AQ79" s="689" t="n"/>
      <c r="AR79" s="689" t="n"/>
      <c r="AS79" s="690" t="n"/>
      <c r="AT79" s="691">
        <f>IF(AJ79&lt;&gt;"",(IF(AV79="到貨","",(AJ79-TODAY()))),"")</f>
        <v/>
      </c>
      <c r="AU79" s="692">
        <f>IF(AO79&lt;&gt;"",(AO79-AE79),"")</f>
        <v/>
      </c>
      <c r="AV79" s="86">
        <f>IF(AI79&lt;&gt;"",IF(AS79&lt;&gt;"","到貨","5次發包中"),IF(AH79&lt;&gt;"",IF(AR79&lt;&gt;"","到貨","4次發包中"),IF(AG79&lt;&gt;"",IF(AQ79&lt;&gt;"","到貨","3次發包中"),IF(AF79&lt;&gt;"",IF(AP79&lt;&gt;"","到貨","2次發包中"),IF(AE79&lt;&gt;"",IF(AO79&lt;&gt;"","到貨","發包中"),"")))))</f>
        <v/>
      </c>
      <c r="AW79" s="86">
        <f>IF(OR($AW$6=Y79),$AW$6,"")</f>
        <v/>
      </c>
      <c r="AX79" s="87">
        <f t="array" ref="AX79">IF(OR(AV79:AW79={"到貨","庫存"}),"完成","")</f>
        <v/>
      </c>
      <c r="AY79" s="92">
        <f>E79*$M$1</f>
        <v/>
      </c>
    </row>
    <row r="80" outlineLevel="1" ht="14.25" customHeight="1">
      <c r="A80" s="67" t="n">
        <v>75</v>
      </c>
      <c r="B80" s="526" t="n"/>
      <c r="C80" s="393" t="n"/>
      <c r="D80" s="427" t="n"/>
      <c r="E80" s="526" t="n"/>
      <c r="F80" s="526" t="n"/>
      <c r="G80" s="527" t="n"/>
      <c r="H80" s="393" t="n"/>
      <c r="I80" s="528" t="n"/>
      <c r="J80" s="528" t="n"/>
      <c r="K80" s="528" t="n"/>
      <c r="L80" s="529" t="n"/>
      <c r="M80" s="529" t="n"/>
      <c r="N80" s="530" t="n"/>
      <c r="O80" s="531" t="n"/>
      <c r="P80" s="527" t="n"/>
      <c r="Q80" s="528" t="n"/>
      <c r="R80" s="528" t="n"/>
      <c r="S80" s="528" t="n"/>
      <c r="T80" s="543" t="n"/>
      <c r="U80" s="534" t="n"/>
      <c r="V80" s="516" t="n"/>
      <c r="W80" s="535" t="n"/>
      <c r="X80" s="536" t="n"/>
      <c r="Y80" s="519" t="n"/>
      <c r="Z80" s="683" t="n"/>
      <c r="AA80" s="684" t="n"/>
      <c r="AB80" s="684" t="n"/>
      <c r="AC80" s="684" t="n"/>
      <c r="AD80" s="685" t="n"/>
      <c r="AE80" s="686" t="n"/>
      <c r="AF80" s="684" t="n"/>
      <c r="AG80" s="687" t="n"/>
      <c r="AH80" s="687" t="n"/>
      <c r="AI80" s="684" t="n"/>
      <c r="AJ80" s="686" t="n"/>
      <c r="AK80" s="687" t="n"/>
      <c r="AL80" s="687" t="n"/>
      <c r="AM80" s="687" t="n"/>
      <c r="AN80" s="688" t="n"/>
      <c r="AO80" s="686" t="n"/>
      <c r="AP80" s="689" t="n"/>
      <c r="AQ80" s="689" t="n"/>
      <c r="AR80" s="689" t="n"/>
      <c r="AS80" s="690" t="n"/>
      <c r="AT80" s="691">
        <f>IF(AJ80&lt;&gt;"",(IF(AV80="到貨","",(AJ80-TODAY()))),"")</f>
        <v/>
      </c>
      <c r="AU80" s="692">
        <f>IF(AO80&lt;&gt;"",(AO80-AE80),"")</f>
        <v/>
      </c>
      <c r="AV80" s="86">
        <f>IF(AI80&lt;&gt;"",IF(AS80&lt;&gt;"","到貨","5次發包中"),IF(AH80&lt;&gt;"",IF(AR80&lt;&gt;"","到貨","4次發包中"),IF(AG80&lt;&gt;"",IF(AQ80&lt;&gt;"","到貨","3次發包中"),IF(AF80&lt;&gt;"",IF(AP80&lt;&gt;"","到貨","2次發包中"),IF(AE80&lt;&gt;"",IF(AO80&lt;&gt;"","到貨","發包中"),"")))))</f>
        <v/>
      </c>
      <c r="AW80" s="86">
        <f>IF(OR($AW$6=Y80),$AW$6,"")</f>
        <v/>
      </c>
      <c r="AX80" s="87">
        <f t="array" ref="AX80">IF(OR(AV80:AW80={"到貨","庫存"}),"完成","")</f>
        <v/>
      </c>
      <c r="AY80" s="92">
        <f>E80*$M$1</f>
        <v/>
      </c>
    </row>
    <row r="81" outlineLevel="1" ht="14.25" customHeight="1">
      <c r="A81" s="67" t="n">
        <v>76</v>
      </c>
      <c r="B81" s="526" t="n"/>
      <c r="C81" s="393" t="n"/>
      <c r="D81" s="427" t="n"/>
      <c r="E81" s="526" t="n"/>
      <c r="F81" s="526" t="n"/>
      <c r="G81" s="527" t="n"/>
      <c r="H81" s="393" t="n"/>
      <c r="I81" s="528" t="n"/>
      <c r="J81" s="528" t="n"/>
      <c r="K81" s="528" t="n"/>
      <c r="L81" s="529" t="n"/>
      <c r="M81" s="529" t="n"/>
      <c r="N81" s="530" t="n"/>
      <c r="O81" s="531" t="n"/>
      <c r="P81" s="527" t="n"/>
      <c r="Q81" s="528" t="n"/>
      <c r="R81" s="528" t="n"/>
      <c r="S81" s="528" t="n"/>
      <c r="T81" s="543" t="n"/>
      <c r="U81" s="534" t="n"/>
      <c r="V81" s="516" t="n"/>
      <c r="W81" s="535" t="n"/>
      <c r="X81" s="536" t="n"/>
      <c r="Y81" s="519" t="n"/>
      <c r="Z81" s="683" t="n"/>
      <c r="AA81" s="684" t="n"/>
      <c r="AB81" s="684" t="n"/>
      <c r="AC81" s="684" t="n"/>
      <c r="AD81" s="685" t="n"/>
      <c r="AE81" s="686" t="n"/>
      <c r="AF81" s="684" t="n"/>
      <c r="AG81" s="687" t="n"/>
      <c r="AH81" s="687" t="n"/>
      <c r="AI81" s="684" t="n"/>
      <c r="AJ81" s="686" t="n"/>
      <c r="AK81" s="687" t="n"/>
      <c r="AL81" s="687" t="n"/>
      <c r="AM81" s="687" t="n"/>
      <c r="AN81" s="688" t="n"/>
      <c r="AO81" s="686" t="n"/>
      <c r="AP81" s="689" t="n"/>
      <c r="AQ81" s="689" t="n"/>
      <c r="AR81" s="689" t="n"/>
      <c r="AS81" s="690" t="n"/>
      <c r="AT81" s="691">
        <f>IF(AJ81&lt;&gt;"",(IF(AV81="到貨","",(AJ81-TODAY()))),"")</f>
        <v/>
      </c>
      <c r="AU81" s="692">
        <f>IF(AO81&lt;&gt;"",(AO81-AE81),"")</f>
        <v/>
      </c>
      <c r="AV81" s="86">
        <f>IF(AI81&lt;&gt;"",IF(AS81&lt;&gt;"","到貨","5次發包中"),IF(AH81&lt;&gt;"",IF(AR81&lt;&gt;"","到貨","4次發包中"),IF(AG81&lt;&gt;"",IF(AQ81&lt;&gt;"","到貨","3次發包中"),IF(AF81&lt;&gt;"",IF(AP81&lt;&gt;"","到貨","2次發包中"),IF(AE81&lt;&gt;"",IF(AO81&lt;&gt;"","到貨","發包中"),"")))))</f>
        <v/>
      </c>
      <c r="AW81" s="86">
        <f>IF(OR($AW$6=Y81),$AW$6,"")</f>
        <v/>
      </c>
      <c r="AX81" s="87">
        <f t="array" ref="AX81">IF(OR(AV81:AW81={"到貨","庫存"}),"完成","")</f>
        <v/>
      </c>
      <c r="AY81" s="92">
        <f>E81*$M$1</f>
        <v/>
      </c>
    </row>
    <row r="82" outlineLevel="1" ht="14.25" customHeight="1">
      <c r="A82" s="67" t="n">
        <v>77</v>
      </c>
      <c r="B82" s="526" t="n"/>
      <c r="C82" s="393" t="n"/>
      <c r="D82" s="427" t="n"/>
      <c r="E82" s="526" t="n"/>
      <c r="F82" s="526" t="n"/>
      <c r="G82" s="527" t="n"/>
      <c r="H82" s="393" t="n"/>
      <c r="I82" s="528" t="n"/>
      <c r="J82" s="528" t="n"/>
      <c r="K82" s="528" t="n"/>
      <c r="L82" s="529" t="n"/>
      <c r="M82" s="529" t="n"/>
      <c r="N82" s="530" t="n"/>
      <c r="O82" s="531" t="n"/>
      <c r="P82" s="527" t="n"/>
      <c r="Q82" s="528" t="n"/>
      <c r="R82" s="528" t="n"/>
      <c r="S82" s="528" t="n"/>
      <c r="T82" s="543" t="n"/>
      <c r="U82" s="534" t="n"/>
      <c r="V82" s="516" t="n"/>
      <c r="W82" s="535" t="n"/>
      <c r="X82" s="536" t="n"/>
      <c r="Y82" s="519" t="n"/>
      <c r="Z82" s="683" t="n"/>
      <c r="AA82" s="684" t="n"/>
      <c r="AB82" s="684" t="n"/>
      <c r="AC82" s="684" t="n"/>
      <c r="AD82" s="685" t="n"/>
      <c r="AE82" s="686" t="n"/>
      <c r="AF82" s="684" t="n"/>
      <c r="AG82" s="687" t="n"/>
      <c r="AH82" s="687" t="n"/>
      <c r="AI82" s="684" t="n"/>
      <c r="AJ82" s="686" t="n"/>
      <c r="AK82" s="687" t="n"/>
      <c r="AL82" s="687" t="n"/>
      <c r="AM82" s="687" t="n"/>
      <c r="AN82" s="688" t="n"/>
      <c r="AO82" s="686" t="n"/>
      <c r="AP82" s="689" t="n"/>
      <c r="AQ82" s="689" t="n"/>
      <c r="AR82" s="689" t="n"/>
      <c r="AS82" s="690" t="n"/>
      <c r="AT82" s="691">
        <f>IF(AJ82&lt;&gt;"",(IF(AV82="到貨","",(AJ82-TODAY()))),"")</f>
        <v/>
      </c>
      <c r="AU82" s="692">
        <f>IF(AO82&lt;&gt;"",(AO82-AE82),"")</f>
        <v/>
      </c>
      <c r="AV82" s="86">
        <f>IF(AI82&lt;&gt;"",IF(AS82&lt;&gt;"","到貨","5次發包中"),IF(AH82&lt;&gt;"",IF(AR82&lt;&gt;"","到貨","4次發包中"),IF(AG82&lt;&gt;"",IF(AQ82&lt;&gt;"","到貨","3次發包中"),IF(AF82&lt;&gt;"",IF(AP82&lt;&gt;"","到貨","2次發包中"),IF(AE82&lt;&gt;"",IF(AO82&lt;&gt;"","到貨","發包中"),"")))))</f>
        <v/>
      </c>
      <c r="AW82" s="86">
        <f>IF(OR($AW$6=Y82),$AW$6,"")</f>
        <v/>
      </c>
      <c r="AX82" s="87">
        <f t="array" ref="AX82">IF(OR(AV82:AW82={"到貨","庫存"}),"完成","")</f>
        <v/>
      </c>
      <c r="AY82" s="92">
        <f>E82*$M$1</f>
        <v/>
      </c>
    </row>
    <row r="83" outlineLevel="1" ht="14.25" customHeight="1">
      <c r="A83" s="67" t="n">
        <v>78</v>
      </c>
      <c r="B83" s="526" t="n"/>
      <c r="C83" s="393" t="n"/>
      <c r="D83" s="427" t="n"/>
      <c r="E83" s="526" t="n"/>
      <c r="F83" s="526" t="n"/>
      <c r="G83" s="527" t="n"/>
      <c r="H83" s="393" t="n"/>
      <c r="I83" s="528" t="n"/>
      <c r="J83" s="528" t="n"/>
      <c r="K83" s="528" t="n"/>
      <c r="L83" s="529" t="n"/>
      <c r="M83" s="529" t="n"/>
      <c r="N83" s="530" t="n"/>
      <c r="O83" s="531" t="n"/>
      <c r="P83" s="527" t="n"/>
      <c r="Q83" s="528" t="n"/>
      <c r="R83" s="528" t="n"/>
      <c r="S83" s="528" t="n"/>
      <c r="T83" s="543" t="n"/>
      <c r="U83" s="534" t="n"/>
      <c r="V83" s="516" t="n"/>
      <c r="W83" s="535" t="n"/>
      <c r="X83" s="536" t="n"/>
      <c r="Y83" s="519" t="n"/>
      <c r="Z83" s="683" t="n"/>
      <c r="AA83" s="684" t="n"/>
      <c r="AB83" s="684" t="n"/>
      <c r="AC83" s="684" t="n"/>
      <c r="AD83" s="685" t="n"/>
      <c r="AE83" s="686" t="n"/>
      <c r="AF83" s="684" t="n"/>
      <c r="AG83" s="687" t="n"/>
      <c r="AH83" s="687" t="n"/>
      <c r="AI83" s="684" t="n"/>
      <c r="AJ83" s="686" t="n"/>
      <c r="AK83" s="687" t="n"/>
      <c r="AL83" s="687" t="n"/>
      <c r="AM83" s="687" t="n"/>
      <c r="AN83" s="688" t="n"/>
      <c r="AO83" s="686" t="n"/>
      <c r="AP83" s="689" t="n"/>
      <c r="AQ83" s="689" t="n"/>
      <c r="AR83" s="689" t="n"/>
      <c r="AS83" s="690" t="n"/>
      <c r="AT83" s="691">
        <f>IF(AJ83&lt;&gt;"",(IF(AV83="到貨","",(AJ83-TODAY()))),"")</f>
        <v/>
      </c>
      <c r="AU83" s="692">
        <f>IF(AO83&lt;&gt;"",(AO83-AE83),"")</f>
        <v/>
      </c>
      <c r="AV83" s="86">
        <f>IF(AI83&lt;&gt;"",IF(AS83&lt;&gt;"","到貨","5次發包中"),IF(AH83&lt;&gt;"",IF(AR83&lt;&gt;"","到貨","4次發包中"),IF(AG83&lt;&gt;"",IF(AQ83&lt;&gt;"","到貨","3次發包中"),IF(AF83&lt;&gt;"",IF(AP83&lt;&gt;"","到貨","2次發包中"),IF(AE83&lt;&gt;"",IF(AO83&lt;&gt;"","到貨","發包中"),"")))))</f>
        <v/>
      </c>
      <c r="AW83" s="86">
        <f>IF(OR($AW$6=Y83),$AW$6,"")</f>
        <v/>
      </c>
      <c r="AX83" s="87">
        <f t="array" ref="AX83">IF(OR(AV83:AW83={"到貨","庫存"}),"完成","")</f>
        <v/>
      </c>
      <c r="AY83" s="92">
        <f>E83*$M$1</f>
        <v/>
      </c>
    </row>
    <row r="84" outlineLevel="1" ht="14.25" customHeight="1">
      <c r="A84" s="67" t="n">
        <v>79</v>
      </c>
      <c r="B84" s="526" t="n"/>
      <c r="C84" s="393" t="n"/>
      <c r="D84" s="427" t="n"/>
      <c r="E84" s="526" t="n"/>
      <c r="F84" s="526" t="n"/>
      <c r="G84" s="527" t="n"/>
      <c r="H84" s="393" t="n"/>
      <c r="I84" s="528" t="n"/>
      <c r="J84" s="528" t="n"/>
      <c r="K84" s="528" t="n"/>
      <c r="L84" s="529" t="n"/>
      <c r="M84" s="529" t="n"/>
      <c r="N84" s="530" t="n"/>
      <c r="O84" s="531" t="n"/>
      <c r="P84" s="527" t="n"/>
      <c r="Q84" s="528" t="n"/>
      <c r="R84" s="528" t="n"/>
      <c r="S84" s="528" t="n"/>
      <c r="T84" s="543" t="n"/>
      <c r="U84" s="534" t="n"/>
      <c r="V84" s="516" t="n"/>
      <c r="W84" s="535" t="n"/>
      <c r="X84" s="536" t="n"/>
      <c r="Y84" s="519" t="n"/>
      <c r="Z84" s="683" t="n"/>
      <c r="AA84" s="684" t="n"/>
      <c r="AB84" s="684" t="n"/>
      <c r="AC84" s="684" t="n"/>
      <c r="AD84" s="685" t="n"/>
      <c r="AE84" s="686" t="n"/>
      <c r="AF84" s="684" t="n"/>
      <c r="AG84" s="687" t="n"/>
      <c r="AH84" s="687" t="n"/>
      <c r="AI84" s="684" t="n"/>
      <c r="AJ84" s="686" t="n"/>
      <c r="AK84" s="687" t="n"/>
      <c r="AL84" s="687" t="n"/>
      <c r="AM84" s="687" t="n"/>
      <c r="AN84" s="688" t="n"/>
      <c r="AO84" s="686" t="n"/>
      <c r="AP84" s="689" t="n"/>
      <c r="AQ84" s="689" t="n"/>
      <c r="AR84" s="689" t="n"/>
      <c r="AS84" s="690" t="n"/>
      <c r="AT84" s="691">
        <f>IF(AJ84&lt;&gt;"",(IF(AV84="到貨","",(AJ84-TODAY()))),"")</f>
        <v/>
      </c>
      <c r="AU84" s="692">
        <f>IF(AO84&lt;&gt;"",(AO84-AE84),"")</f>
        <v/>
      </c>
      <c r="AV84" s="86">
        <f>IF(AI84&lt;&gt;"",IF(AS84&lt;&gt;"","到貨","5次發包中"),IF(AH84&lt;&gt;"",IF(AR84&lt;&gt;"","到貨","4次發包中"),IF(AG84&lt;&gt;"",IF(AQ84&lt;&gt;"","到貨","3次發包中"),IF(AF84&lt;&gt;"",IF(AP84&lt;&gt;"","到貨","2次發包中"),IF(AE84&lt;&gt;"",IF(AO84&lt;&gt;"","到貨","發包中"),"")))))</f>
        <v/>
      </c>
      <c r="AW84" s="86">
        <f>IF(OR($AW$6=Y84),$AW$6,"")</f>
        <v/>
      </c>
      <c r="AX84" s="87">
        <f t="array" ref="AX84">IF(OR(AV84:AW84={"到貨","庫存"}),"完成","")</f>
        <v/>
      </c>
      <c r="AY84" s="92">
        <f>E84*$M$1</f>
        <v/>
      </c>
    </row>
    <row r="85" outlineLevel="1" ht="14.25" customHeight="1">
      <c r="A85" s="67" t="n">
        <v>80</v>
      </c>
      <c r="B85" s="526" t="n"/>
      <c r="C85" s="393" t="n"/>
      <c r="D85" s="427" t="n"/>
      <c r="E85" s="526" t="n"/>
      <c r="F85" s="526" t="n"/>
      <c r="G85" s="527" t="n"/>
      <c r="H85" s="393" t="n"/>
      <c r="I85" s="528" t="n"/>
      <c r="J85" s="528" t="n"/>
      <c r="K85" s="528" t="n"/>
      <c r="L85" s="529" t="n"/>
      <c r="M85" s="529" t="n"/>
      <c r="N85" s="530" t="n"/>
      <c r="O85" s="531" t="n"/>
      <c r="P85" s="527" t="n"/>
      <c r="Q85" s="528" t="n"/>
      <c r="R85" s="528" t="n"/>
      <c r="S85" s="528" t="n"/>
      <c r="T85" s="543" t="n"/>
      <c r="U85" s="534" t="n"/>
      <c r="V85" s="516" t="n"/>
      <c r="W85" s="535" t="n"/>
      <c r="X85" s="536" t="n"/>
      <c r="Y85" s="519" t="n"/>
      <c r="Z85" s="683" t="n"/>
      <c r="AA85" s="684" t="n"/>
      <c r="AB85" s="684" t="n"/>
      <c r="AC85" s="684" t="n"/>
      <c r="AD85" s="685" t="n"/>
      <c r="AE85" s="686" t="n"/>
      <c r="AF85" s="684" t="n"/>
      <c r="AG85" s="687" t="n"/>
      <c r="AH85" s="687" t="n"/>
      <c r="AI85" s="684" t="n"/>
      <c r="AJ85" s="686" t="n"/>
      <c r="AK85" s="687" t="n"/>
      <c r="AL85" s="687" t="n"/>
      <c r="AM85" s="687" t="n"/>
      <c r="AN85" s="688" t="n"/>
      <c r="AO85" s="686" t="n"/>
      <c r="AP85" s="689" t="n"/>
      <c r="AQ85" s="689" t="n"/>
      <c r="AR85" s="689" t="n"/>
      <c r="AS85" s="690" t="n"/>
      <c r="AT85" s="691">
        <f>IF(AJ85&lt;&gt;"",(IF(AV85="到貨","",(AJ85-TODAY()))),"")</f>
        <v/>
      </c>
      <c r="AU85" s="692">
        <f>IF(AO85&lt;&gt;"",(AO85-AE85),"")</f>
        <v/>
      </c>
      <c r="AV85" s="86">
        <f>IF(AI85&lt;&gt;"",IF(AS85&lt;&gt;"","到貨","5次發包中"),IF(AH85&lt;&gt;"",IF(AR85&lt;&gt;"","到貨","4次發包中"),IF(AG85&lt;&gt;"",IF(AQ85&lt;&gt;"","到貨","3次發包中"),IF(AF85&lt;&gt;"",IF(AP85&lt;&gt;"","到貨","2次發包中"),IF(AE85&lt;&gt;"",IF(AO85&lt;&gt;"","到貨","發包中"),"")))))</f>
        <v/>
      </c>
      <c r="AW85" s="86">
        <f>IF(OR($AW$6=Y85),$AW$6,"")</f>
        <v/>
      </c>
      <c r="AX85" s="87">
        <f t="array" ref="AX85">IF(OR(AV85:AW85={"到貨","庫存"}),"完成","")</f>
        <v/>
      </c>
      <c r="AY85" s="92">
        <f>E85*$M$1</f>
        <v/>
      </c>
    </row>
    <row r="86" outlineLevel="1" ht="14.25" customHeight="1">
      <c r="A86" s="67" t="n">
        <v>81</v>
      </c>
      <c r="B86" s="526" t="n"/>
      <c r="C86" s="393" t="n"/>
      <c r="D86" s="427" t="n"/>
      <c r="E86" s="526" t="n"/>
      <c r="F86" s="526" t="n"/>
      <c r="G86" s="527" t="n"/>
      <c r="H86" s="393" t="n"/>
      <c r="I86" s="528" t="n"/>
      <c r="J86" s="528" t="n"/>
      <c r="K86" s="528" t="n"/>
      <c r="L86" s="529" t="n"/>
      <c r="M86" s="529" t="n"/>
      <c r="N86" s="530" t="n"/>
      <c r="O86" s="531" t="n"/>
      <c r="P86" s="527" t="n"/>
      <c r="Q86" s="528" t="n"/>
      <c r="R86" s="528" t="n"/>
      <c r="S86" s="528" t="n"/>
      <c r="T86" s="543" t="n"/>
      <c r="U86" s="534" t="n"/>
      <c r="V86" s="516" t="n"/>
      <c r="W86" s="535" t="n"/>
      <c r="X86" s="536" t="n"/>
      <c r="Y86" s="519" t="n"/>
      <c r="Z86" s="683" t="n"/>
      <c r="AA86" s="684" t="n"/>
      <c r="AB86" s="684" t="n"/>
      <c r="AC86" s="684" t="n"/>
      <c r="AD86" s="685" t="n"/>
      <c r="AE86" s="686" t="n"/>
      <c r="AF86" s="684" t="n"/>
      <c r="AG86" s="687" t="n"/>
      <c r="AH86" s="687" t="n"/>
      <c r="AI86" s="684" t="n"/>
      <c r="AJ86" s="686" t="n"/>
      <c r="AK86" s="687" t="n"/>
      <c r="AL86" s="687" t="n"/>
      <c r="AM86" s="687" t="n"/>
      <c r="AN86" s="688" t="n"/>
      <c r="AO86" s="686" t="n"/>
      <c r="AP86" s="689" t="n"/>
      <c r="AQ86" s="689" t="n"/>
      <c r="AR86" s="689" t="n"/>
      <c r="AS86" s="690" t="n"/>
      <c r="AT86" s="691">
        <f>IF(AJ86&lt;&gt;"",(IF(AV86="到貨","",(AJ86-TODAY()))),"")</f>
        <v/>
      </c>
      <c r="AU86" s="692">
        <f>IF(AO86&lt;&gt;"",(AO86-AE86),"")</f>
        <v/>
      </c>
      <c r="AV86" s="86">
        <f>IF(AI86&lt;&gt;"",IF(AS86&lt;&gt;"","到貨","5次發包中"),IF(AH86&lt;&gt;"",IF(AR86&lt;&gt;"","到貨","4次發包中"),IF(AG86&lt;&gt;"",IF(AQ86&lt;&gt;"","到貨","3次發包中"),IF(AF86&lt;&gt;"",IF(AP86&lt;&gt;"","到貨","2次發包中"),IF(AE86&lt;&gt;"",IF(AO86&lt;&gt;"","到貨","發包中"),"")))))</f>
        <v/>
      </c>
      <c r="AW86" s="86">
        <f>IF(OR($AW$6=Y86),$AW$6,"")</f>
        <v/>
      </c>
      <c r="AX86" s="87">
        <f t="array" ref="AX86">IF(OR(AV86:AW86={"到貨","庫存"}),"完成","")</f>
        <v/>
      </c>
      <c r="AY86" s="92">
        <f>E86*$M$1</f>
        <v/>
      </c>
    </row>
    <row r="87" outlineLevel="1" ht="14.25" customHeight="1">
      <c r="A87" s="67" t="n">
        <v>82</v>
      </c>
      <c r="B87" s="526" t="n"/>
      <c r="C87" s="393" t="n"/>
      <c r="D87" s="427" t="n"/>
      <c r="E87" s="526" t="n"/>
      <c r="F87" s="526" t="n"/>
      <c r="G87" s="527" t="n"/>
      <c r="H87" s="393" t="n"/>
      <c r="I87" s="528" t="n"/>
      <c r="J87" s="528" t="n"/>
      <c r="K87" s="528" t="n"/>
      <c r="L87" s="529" t="n"/>
      <c r="M87" s="529" t="n"/>
      <c r="N87" s="530" t="n"/>
      <c r="O87" s="531" t="n"/>
      <c r="P87" s="527" t="n"/>
      <c r="Q87" s="528" t="n"/>
      <c r="R87" s="528" t="n"/>
      <c r="S87" s="528" t="n"/>
      <c r="T87" s="543" t="n"/>
      <c r="U87" s="534" t="n"/>
      <c r="V87" s="516" t="n"/>
      <c r="W87" s="535" t="n"/>
      <c r="X87" s="536" t="n"/>
      <c r="Y87" s="519" t="n"/>
      <c r="Z87" s="683" t="n"/>
      <c r="AA87" s="684" t="n"/>
      <c r="AB87" s="684" t="n"/>
      <c r="AC87" s="684" t="n"/>
      <c r="AD87" s="685" t="n"/>
      <c r="AE87" s="686" t="n"/>
      <c r="AF87" s="684" t="n"/>
      <c r="AG87" s="687" t="n"/>
      <c r="AH87" s="687" t="n"/>
      <c r="AI87" s="684" t="n"/>
      <c r="AJ87" s="686" t="n"/>
      <c r="AK87" s="687" t="n"/>
      <c r="AL87" s="687" t="n"/>
      <c r="AM87" s="687" t="n"/>
      <c r="AN87" s="688" t="n"/>
      <c r="AO87" s="686" t="n"/>
      <c r="AP87" s="689" t="n"/>
      <c r="AQ87" s="689" t="n"/>
      <c r="AR87" s="689" t="n"/>
      <c r="AS87" s="690" t="n"/>
      <c r="AT87" s="691">
        <f>IF(AJ87&lt;&gt;"",(IF(AV87="到貨","",(AJ87-TODAY()))),"")</f>
        <v/>
      </c>
      <c r="AU87" s="692">
        <f>IF(AO87&lt;&gt;"",(AO87-AE87),"")</f>
        <v/>
      </c>
      <c r="AV87" s="86">
        <f>IF(AI87&lt;&gt;"",IF(AS87&lt;&gt;"","到貨","5次發包中"),IF(AH87&lt;&gt;"",IF(AR87&lt;&gt;"","到貨","4次發包中"),IF(AG87&lt;&gt;"",IF(AQ87&lt;&gt;"","到貨","3次發包中"),IF(AF87&lt;&gt;"",IF(AP87&lt;&gt;"","到貨","2次發包中"),IF(AE87&lt;&gt;"",IF(AO87&lt;&gt;"","到貨","發包中"),"")))))</f>
        <v/>
      </c>
      <c r="AW87" s="86">
        <f>IF(OR($AW$6=Y87),$AW$6,"")</f>
        <v/>
      </c>
      <c r="AX87" s="87">
        <f t="array" ref="AX87">IF(OR(AV87:AW87={"到貨","庫存"}),"完成","")</f>
        <v/>
      </c>
      <c r="AY87" s="92">
        <f>E87*$M$1</f>
        <v/>
      </c>
    </row>
    <row r="88" outlineLevel="1" ht="14.25" customHeight="1">
      <c r="A88" s="67" t="n">
        <v>83</v>
      </c>
      <c r="B88" s="526" t="n"/>
      <c r="C88" s="393" t="n"/>
      <c r="D88" s="427" t="n"/>
      <c r="E88" s="526" t="n"/>
      <c r="F88" s="526" t="n"/>
      <c r="G88" s="527" t="n"/>
      <c r="H88" s="393" t="n"/>
      <c r="I88" s="528" t="n"/>
      <c r="J88" s="528" t="n"/>
      <c r="K88" s="528" t="n"/>
      <c r="L88" s="529" t="n"/>
      <c r="M88" s="529" t="n"/>
      <c r="N88" s="530" t="n"/>
      <c r="O88" s="531" t="n"/>
      <c r="P88" s="527" t="n"/>
      <c r="Q88" s="528" t="n"/>
      <c r="R88" s="528" t="n"/>
      <c r="S88" s="528" t="n"/>
      <c r="T88" s="543" t="n"/>
      <c r="U88" s="534" t="n"/>
      <c r="V88" s="516" t="n"/>
      <c r="W88" s="535" t="n"/>
      <c r="X88" s="536" t="n"/>
      <c r="Y88" s="519" t="n"/>
      <c r="Z88" s="683" t="n"/>
      <c r="AA88" s="684" t="n"/>
      <c r="AB88" s="684" t="n"/>
      <c r="AC88" s="684" t="n"/>
      <c r="AD88" s="685" t="n"/>
      <c r="AE88" s="686" t="n"/>
      <c r="AF88" s="684" t="n"/>
      <c r="AG88" s="687" t="n"/>
      <c r="AH88" s="687" t="n"/>
      <c r="AI88" s="684" t="n"/>
      <c r="AJ88" s="686" t="n"/>
      <c r="AK88" s="687" t="n"/>
      <c r="AL88" s="687" t="n"/>
      <c r="AM88" s="687" t="n"/>
      <c r="AN88" s="688" t="n"/>
      <c r="AO88" s="686" t="n"/>
      <c r="AP88" s="689" t="n"/>
      <c r="AQ88" s="689" t="n"/>
      <c r="AR88" s="689" t="n"/>
      <c r="AS88" s="690" t="n"/>
      <c r="AT88" s="691">
        <f>IF(AJ88&lt;&gt;"",(IF(AV88="到貨","",(AJ88-TODAY()))),"")</f>
        <v/>
      </c>
      <c r="AU88" s="692">
        <f>IF(AO88&lt;&gt;"",(AO88-AE88),"")</f>
        <v/>
      </c>
      <c r="AV88" s="86">
        <f>IF(AI88&lt;&gt;"",IF(AS88&lt;&gt;"","到貨","5次發包中"),IF(AH88&lt;&gt;"",IF(AR88&lt;&gt;"","到貨","4次發包中"),IF(AG88&lt;&gt;"",IF(AQ88&lt;&gt;"","到貨","3次發包中"),IF(AF88&lt;&gt;"",IF(AP88&lt;&gt;"","到貨","2次發包中"),IF(AE88&lt;&gt;"",IF(AO88&lt;&gt;"","到貨","發包中"),"")))))</f>
        <v/>
      </c>
      <c r="AW88" s="86">
        <f>IF(OR($AW$6=Y88),$AW$6,"")</f>
        <v/>
      </c>
      <c r="AX88" s="87">
        <f t="array" ref="AX88">IF(OR(AV88:AW88={"到貨","庫存"}),"完成","")</f>
        <v/>
      </c>
      <c r="AY88" s="92">
        <f>E88*$M$1</f>
        <v/>
      </c>
    </row>
    <row r="89" outlineLevel="1" ht="14.25" customHeight="1">
      <c r="A89" s="67" t="n">
        <v>84</v>
      </c>
      <c r="B89" s="526" t="n"/>
      <c r="C89" s="393" t="n"/>
      <c r="D89" s="427" t="n"/>
      <c r="E89" s="526" t="n"/>
      <c r="F89" s="526" t="n"/>
      <c r="G89" s="527" t="n"/>
      <c r="H89" s="393" t="n"/>
      <c r="I89" s="528" t="n"/>
      <c r="J89" s="528" t="n"/>
      <c r="K89" s="528" t="n"/>
      <c r="L89" s="529" t="n"/>
      <c r="M89" s="529" t="n"/>
      <c r="N89" s="530" t="n"/>
      <c r="O89" s="531" t="n"/>
      <c r="P89" s="527" t="n"/>
      <c r="Q89" s="528" t="n"/>
      <c r="R89" s="528" t="n"/>
      <c r="S89" s="528" t="n"/>
      <c r="T89" s="543" t="n"/>
      <c r="U89" s="534" t="n"/>
      <c r="V89" s="516" t="n"/>
      <c r="W89" s="535" t="n"/>
      <c r="X89" s="536" t="n"/>
      <c r="Y89" s="519" t="n"/>
      <c r="Z89" s="683" t="n"/>
      <c r="AA89" s="684" t="n"/>
      <c r="AB89" s="684" t="n"/>
      <c r="AC89" s="684" t="n"/>
      <c r="AD89" s="685" t="n"/>
      <c r="AE89" s="686" t="n"/>
      <c r="AF89" s="684" t="n"/>
      <c r="AG89" s="687" t="n"/>
      <c r="AH89" s="687" t="n"/>
      <c r="AI89" s="684" t="n"/>
      <c r="AJ89" s="686" t="n"/>
      <c r="AK89" s="687" t="n"/>
      <c r="AL89" s="687" t="n"/>
      <c r="AM89" s="687" t="n"/>
      <c r="AN89" s="688" t="n"/>
      <c r="AO89" s="686" t="n"/>
      <c r="AP89" s="689" t="n"/>
      <c r="AQ89" s="689" t="n"/>
      <c r="AR89" s="689" t="n"/>
      <c r="AS89" s="690" t="n"/>
      <c r="AT89" s="691">
        <f>IF(AJ89&lt;&gt;"",(IF(AV89="到貨","",(AJ89-TODAY()))),"")</f>
        <v/>
      </c>
      <c r="AU89" s="692">
        <f>IF(AO89&lt;&gt;"",(AO89-AE89),"")</f>
        <v/>
      </c>
      <c r="AV89" s="86">
        <f>IF(AI89&lt;&gt;"",IF(AS89&lt;&gt;"","到貨","5次發包中"),IF(AH89&lt;&gt;"",IF(AR89&lt;&gt;"","到貨","4次發包中"),IF(AG89&lt;&gt;"",IF(AQ89&lt;&gt;"","到貨","3次發包中"),IF(AF89&lt;&gt;"",IF(AP89&lt;&gt;"","到貨","2次發包中"),IF(AE89&lt;&gt;"",IF(AO89&lt;&gt;"","到貨","發包中"),"")))))</f>
        <v/>
      </c>
      <c r="AW89" s="86">
        <f>IF(OR($AW$6=Y89),$AW$6,"")</f>
        <v/>
      </c>
      <c r="AX89" s="87">
        <f t="array" ref="AX89">IF(OR(AV89:AW89={"到貨","庫存"}),"完成","")</f>
        <v/>
      </c>
      <c r="AY89" s="92">
        <f>E89*$M$1</f>
        <v/>
      </c>
    </row>
    <row r="90" outlineLevel="1" ht="14.25" customHeight="1">
      <c r="A90" s="67" t="n">
        <v>85</v>
      </c>
      <c r="B90" s="526" t="n"/>
      <c r="C90" s="393" t="n"/>
      <c r="D90" s="427" t="n"/>
      <c r="E90" s="526" t="n"/>
      <c r="F90" s="526" t="n"/>
      <c r="G90" s="527" t="n"/>
      <c r="H90" s="393" t="n"/>
      <c r="I90" s="528" t="n"/>
      <c r="J90" s="528" t="n"/>
      <c r="K90" s="528" t="n"/>
      <c r="L90" s="529" t="n"/>
      <c r="M90" s="529" t="n"/>
      <c r="N90" s="530" t="n"/>
      <c r="O90" s="531" t="n"/>
      <c r="P90" s="527" t="n"/>
      <c r="Q90" s="528" t="n"/>
      <c r="R90" s="528" t="n"/>
      <c r="S90" s="528" t="n"/>
      <c r="T90" s="543" t="n"/>
      <c r="U90" s="534" t="n"/>
      <c r="V90" s="516" t="n"/>
      <c r="W90" s="535" t="n"/>
      <c r="X90" s="536" t="n"/>
      <c r="Y90" s="519" t="n"/>
      <c r="Z90" s="683" t="n"/>
      <c r="AA90" s="684" t="n"/>
      <c r="AB90" s="684" t="n"/>
      <c r="AC90" s="684" t="n"/>
      <c r="AD90" s="685" t="n"/>
      <c r="AE90" s="686" t="n"/>
      <c r="AF90" s="684" t="n"/>
      <c r="AG90" s="687" t="n"/>
      <c r="AH90" s="687" t="n"/>
      <c r="AI90" s="684" t="n"/>
      <c r="AJ90" s="686" t="n"/>
      <c r="AK90" s="687" t="n"/>
      <c r="AL90" s="687" t="n"/>
      <c r="AM90" s="687" t="n"/>
      <c r="AN90" s="688" t="n"/>
      <c r="AO90" s="686" t="n"/>
      <c r="AP90" s="689" t="n"/>
      <c r="AQ90" s="689" t="n"/>
      <c r="AR90" s="689" t="n"/>
      <c r="AS90" s="690" t="n"/>
      <c r="AT90" s="691">
        <f>IF(AJ90&lt;&gt;"",(IF(AV90="到貨","",(AJ90-TODAY()))),"")</f>
        <v/>
      </c>
      <c r="AU90" s="692">
        <f>IF(AO90&lt;&gt;"",(AO90-AE90),"")</f>
        <v/>
      </c>
      <c r="AV90" s="86">
        <f>IF(AI90&lt;&gt;"",IF(AS90&lt;&gt;"","到貨","5次發包中"),IF(AH90&lt;&gt;"",IF(AR90&lt;&gt;"","到貨","4次發包中"),IF(AG90&lt;&gt;"",IF(AQ90&lt;&gt;"","到貨","3次發包中"),IF(AF90&lt;&gt;"",IF(AP90&lt;&gt;"","到貨","2次發包中"),IF(AE90&lt;&gt;"",IF(AO90&lt;&gt;"","到貨","發包中"),"")))))</f>
        <v/>
      </c>
      <c r="AW90" s="86">
        <f>IF(OR($AW$6=Y90),$AW$6,"")</f>
        <v/>
      </c>
      <c r="AX90" s="87">
        <f t="array" ref="AX90">IF(OR(AV90:AW90={"到貨","庫存"}),"完成","")</f>
        <v/>
      </c>
      <c r="AY90" s="92">
        <f>E90*$M$1</f>
        <v/>
      </c>
    </row>
    <row r="91" outlineLevel="1" ht="14.25" customHeight="1">
      <c r="A91" s="67" t="n">
        <v>86</v>
      </c>
      <c r="B91" s="526" t="n"/>
      <c r="C91" s="393" t="n"/>
      <c r="D91" s="427" t="n"/>
      <c r="E91" s="526" t="n"/>
      <c r="F91" s="526" t="n"/>
      <c r="G91" s="527" t="n"/>
      <c r="H91" s="393" t="n"/>
      <c r="I91" s="528" t="n"/>
      <c r="J91" s="528" t="n"/>
      <c r="K91" s="528" t="n"/>
      <c r="L91" s="529" t="n"/>
      <c r="M91" s="529" t="n"/>
      <c r="N91" s="530" t="n"/>
      <c r="O91" s="531" t="n"/>
      <c r="P91" s="527" t="n"/>
      <c r="Q91" s="528" t="n"/>
      <c r="R91" s="528" t="n"/>
      <c r="S91" s="528" t="n"/>
      <c r="T91" s="543" t="n"/>
      <c r="U91" s="534" t="n"/>
      <c r="V91" s="516" t="n"/>
      <c r="W91" s="535" t="n"/>
      <c r="X91" s="536" t="n"/>
      <c r="Y91" s="519" t="n"/>
      <c r="Z91" s="683" t="n"/>
      <c r="AA91" s="684" t="n"/>
      <c r="AB91" s="684" t="n"/>
      <c r="AC91" s="684" t="n"/>
      <c r="AD91" s="685" t="n"/>
      <c r="AE91" s="686" t="n"/>
      <c r="AF91" s="684" t="n"/>
      <c r="AG91" s="687" t="n"/>
      <c r="AH91" s="687" t="n"/>
      <c r="AI91" s="684" t="n"/>
      <c r="AJ91" s="686" t="n"/>
      <c r="AK91" s="687" t="n"/>
      <c r="AL91" s="687" t="n"/>
      <c r="AM91" s="687" t="n"/>
      <c r="AN91" s="688" t="n"/>
      <c r="AO91" s="686" t="n"/>
      <c r="AP91" s="689" t="n"/>
      <c r="AQ91" s="689" t="n"/>
      <c r="AR91" s="689" t="n"/>
      <c r="AS91" s="690" t="n"/>
      <c r="AT91" s="691">
        <f>IF(AJ91&lt;&gt;"",(IF(AV91="到貨","",(AJ91-TODAY()))),"")</f>
        <v/>
      </c>
      <c r="AU91" s="692">
        <f>IF(AO91&lt;&gt;"",(AO91-AE91),"")</f>
        <v/>
      </c>
      <c r="AV91" s="86">
        <f>IF(AI91&lt;&gt;"",IF(AS91&lt;&gt;"","到貨","5次發包中"),IF(AH91&lt;&gt;"",IF(AR91&lt;&gt;"","到貨","4次發包中"),IF(AG91&lt;&gt;"",IF(AQ91&lt;&gt;"","到貨","3次發包中"),IF(AF91&lt;&gt;"",IF(AP91&lt;&gt;"","到貨","2次發包中"),IF(AE91&lt;&gt;"",IF(AO91&lt;&gt;"","到貨","發包中"),"")))))</f>
        <v/>
      </c>
      <c r="AW91" s="86">
        <f>IF(OR($AW$6=Y91),$AW$6,"")</f>
        <v/>
      </c>
      <c r="AX91" s="87">
        <f t="array" ref="AX91">IF(OR(AV91:AW91={"到貨","庫存"}),"完成","")</f>
        <v/>
      </c>
      <c r="AY91" s="92">
        <f>E91*$M$1</f>
        <v/>
      </c>
    </row>
    <row r="92" outlineLevel="1" ht="14.25" customHeight="1">
      <c r="A92" s="67" t="n">
        <v>87</v>
      </c>
      <c r="B92" s="526" t="n"/>
      <c r="C92" s="393" t="n"/>
      <c r="D92" s="427" t="n"/>
      <c r="E92" s="526" t="n"/>
      <c r="F92" s="526" t="n"/>
      <c r="G92" s="527" t="n"/>
      <c r="H92" s="393" t="n"/>
      <c r="I92" s="528" t="n"/>
      <c r="J92" s="528" t="n"/>
      <c r="K92" s="528" t="n"/>
      <c r="L92" s="529" t="n"/>
      <c r="M92" s="529" t="n"/>
      <c r="N92" s="530" t="n"/>
      <c r="O92" s="531" t="n"/>
      <c r="P92" s="527" t="n"/>
      <c r="Q92" s="528" t="n"/>
      <c r="R92" s="528" t="n"/>
      <c r="S92" s="528" t="n"/>
      <c r="T92" s="543" t="n"/>
      <c r="U92" s="534" t="n"/>
      <c r="V92" s="516" t="n"/>
      <c r="W92" s="535" t="n"/>
      <c r="X92" s="536" t="n"/>
      <c r="Y92" s="519" t="n"/>
      <c r="Z92" s="683" t="n"/>
      <c r="AA92" s="684" t="n"/>
      <c r="AB92" s="684" t="n"/>
      <c r="AC92" s="684" t="n"/>
      <c r="AD92" s="685" t="n"/>
      <c r="AE92" s="686" t="n"/>
      <c r="AF92" s="684" t="n"/>
      <c r="AG92" s="687" t="n"/>
      <c r="AH92" s="687" t="n"/>
      <c r="AI92" s="684" t="n"/>
      <c r="AJ92" s="686" t="n"/>
      <c r="AK92" s="687" t="n"/>
      <c r="AL92" s="687" t="n"/>
      <c r="AM92" s="687" t="n"/>
      <c r="AN92" s="688" t="n"/>
      <c r="AO92" s="686" t="n"/>
      <c r="AP92" s="689" t="n"/>
      <c r="AQ92" s="689" t="n"/>
      <c r="AR92" s="689" t="n"/>
      <c r="AS92" s="690" t="n"/>
      <c r="AT92" s="691">
        <f>IF(AJ92&lt;&gt;"",(IF(AV92="到貨","",(AJ92-TODAY()))),"")</f>
        <v/>
      </c>
      <c r="AU92" s="692">
        <f>IF(AO92&lt;&gt;"",(AO92-AE92),"")</f>
        <v/>
      </c>
      <c r="AV92" s="86">
        <f>IF(AI92&lt;&gt;"",IF(AS92&lt;&gt;"","到貨","5次發包中"),IF(AH92&lt;&gt;"",IF(AR92&lt;&gt;"","到貨","4次發包中"),IF(AG92&lt;&gt;"",IF(AQ92&lt;&gt;"","到貨","3次發包中"),IF(AF92&lt;&gt;"",IF(AP92&lt;&gt;"","到貨","2次發包中"),IF(AE92&lt;&gt;"",IF(AO92&lt;&gt;"","到貨","發包中"),"")))))</f>
        <v/>
      </c>
      <c r="AW92" s="86">
        <f>IF(OR($AW$6=Y92),$AW$6,"")</f>
        <v/>
      </c>
      <c r="AX92" s="87">
        <f t="array" ref="AX92">IF(OR(AV92:AW92={"到貨","庫存"}),"完成","")</f>
        <v/>
      </c>
      <c r="AY92" s="92">
        <f>E92*$M$1</f>
        <v/>
      </c>
    </row>
    <row r="93" outlineLevel="1" ht="14.25" customHeight="1">
      <c r="A93" s="67" t="n">
        <v>88</v>
      </c>
      <c r="B93" s="526" t="n"/>
      <c r="C93" s="393" t="n"/>
      <c r="D93" s="427" t="n"/>
      <c r="E93" s="526" t="n"/>
      <c r="F93" s="526" t="n"/>
      <c r="G93" s="527" t="n"/>
      <c r="H93" s="393" t="n"/>
      <c r="I93" s="528" t="n"/>
      <c r="J93" s="528" t="n"/>
      <c r="K93" s="528" t="n"/>
      <c r="L93" s="529" t="n"/>
      <c r="M93" s="529" t="n"/>
      <c r="N93" s="530" t="n"/>
      <c r="O93" s="531" t="n"/>
      <c r="P93" s="527" t="n"/>
      <c r="Q93" s="528" t="n"/>
      <c r="R93" s="528" t="n"/>
      <c r="S93" s="528" t="n"/>
      <c r="T93" s="543" t="n"/>
      <c r="U93" s="534" t="n"/>
      <c r="V93" s="516" t="n"/>
      <c r="W93" s="535" t="n"/>
      <c r="X93" s="536" t="n"/>
      <c r="Y93" s="519" t="n"/>
      <c r="Z93" s="683" t="n"/>
      <c r="AA93" s="684" t="n"/>
      <c r="AB93" s="684" t="n"/>
      <c r="AC93" s="684" t="n"/>
      <c r="AD93" s="685" t="n"/>
      <c r="AE93" s="686" t="n"/>
      <c r="AF93" s="684" t="n"/>
      <c r="AG93" s="687" t="n"/>
      <c r="AH93" s="687" t="n"/>
      <c r="AI93" s="684" t="n"/>
      <c r="AJ93" s="686" t="n"/>
      <c r="AK93" s="687" t="n"/>
      <c r="AL93" s="687" t="n"/>
      <c r="AM93" s="687" t="n"/>
      <c r="AN93" s="688" t="n"/>
      <c r="AO93" s="686" t="n"/>
      <c r="AP93" s="689" t="n"/>
      <c r="AQ93" s="689" t="n"/>
      <c r="AR93" s="689" t="n"/>
      <c r="AS93" s="690" t="n"/>
      <c r="AT93" s="691">
        <f>IF(AJ93&lt;&gt;"",(IF(AV93="到貨","",(AJ93-TODAY()))),"")</f>
        <v/>
      </c>
      <c r="AU93" s="692">
        <f>IF(AO93&lt;&gt;"",(AO93-AE93),"")</f>
        <v/>
      </c>
      <c r="AV93" s="86">
        <f>IF(AI93&lt;&gt;"",IF(AS93&lt;&gt;"","到貨","5次發包中"),IF(AH93&lt;&gt;"",IF(AR93&lt;&gt;"","到貨","4次發包中"),IF(AG93&lt;&gt;"",IF(AQ93&lt;&gt;"","到貨","3次發包中"),IF(AF93&lt;&gt;"",IF(AP93&lt;&gt;"","到貨","2次發包中"),IF(AE93&lt;&gt;"",IF(AO93&lt;&gt;"","到貨","發包中"),"")))))</f>
        <v/>
      </c>
      <c r="AW93" s="86">
        <f>IF(OR($AW$6=Y93),$AW$6,"")</f>
        <v/>
      </c>
      <c r="AX93" s="87">
        <f t="array" ref="AX93">IF(OR(AV93:AW93={"到貨","庫存"}),"完成","")</f>
        <v/>
      </c>
      <c r="AY93" s="92">
        <f>E93*$M$1</f>
        <v/>
      </c>
    </row>
    <row r="94" outlineLevel="1" ht="14.25" customHeight="1">
      <c r="A94" s="67" t="n">
        <v>89</v>
      </c>
      <c r="B94" s="526" t="n"/>
      <c r="C94" s="393" t="n"/>
      <c r="D94" s="427" t="n"/>
      <c r="E94" s="526" t="n"/>
      <c r="F94" s="526" t="n"/>
      <c r="G94" s="527" t="n"/>
      <c r="H94" s="393" t="n"/>
      <c r="I94" s="528" t="n"/>
      <c r="J94" s="528" t="n"/>
      <c r="K94" s="528" t="n"/>
      <c r="L94" s="529" t="n"/>
      <c r="M94" s="529" t="n"/>
      <c r="N94" s="530" t="n"/>
      <c r="O94" s="531" t="n"/>
      <c r="P94" s="527" t="n"/>
      <c r="Q94" s="528" t="n"/>
      <c r="R94" s="528" t="n"/>
      <c r="S94" s="528" t="n"/>
      <c r="T94" s="543" t="n"/>
      <c r="U94" s="534" t="n"/>
      <c r="V94" s="516" t="n"/>
      <c r="W94" s="535" t="n"/>
      <c r="X94" s="536" t="n"/>
      <c r="Y94" s="519" t="n"/>
      <c r="Z94" s="683" t="n"/>
      <c r="AA94" s="684" t="n"/>
      <c r="AB94" s="684" t="n"/>
      <c r="AC94" s="684" t="n"/>
      <c r="AD94" s="685" t="n"/>
      <c r="AE94" s="686" t="n"/>
      <c r="AF94" s="684" t="n"/>
      <c r="AG94" s="687" t="n"/>
      <c r="AH94" s="687" t="n"/>
      <c r="AI94" s="684" t="n"/>
      <c r="AJ94" s="686" t="n"/>
      <c r="AK94" s="687" t="n"/>
      <c r="AL94" s="687" t="n"/>
      <c r="AM94" s="687" t="n"/>
      <c r="AN94" s="688" t="n"/>
      <c r="AO94" s="686" t="n"/>
      <c r="AP94" s="689" t="n"/>
      <c r="AQ94" s="689" t="n"/>
      <c r="AR94" s="689" t="n"/>
      <c r="AS94" s="690" t="n"/>
      <c r="AT94" s="691">
        <f>IF(AJ94&lt;&gt;"",(IF(AV94="到貨","",(AJ94-TODAY()))),"")</f>
        <v/>
      </c>
      <c r="AU94" s="692">
        <f>IF(AO94&lt;&gt;"",(AO94-AE94),"")</f>
        <v/>
      </c>
      <c r="AV94" s="86">
        <f>IF(AI94&lt;&gt;"",IF(AS94&lt;&gt;"","到貨","5次發包中"),IF(AH94&lt;&gt;"",IF(AR94&lt;&gt;"","到貨","4次發包中"),IF(AG94&lt;&gt;"",IF(AQ94&lt;&gt;"","到貨","3次發包中"),IF(AF94&lt;&gt;"",IF(AP94&lt;&gt;"","到貨","2次發包中"),IF(AE94&lt;&gt;"",IF(AO94&lt;&gt;"","到貨","發包中"),"")))))</f>
        <v/>
      </c>
      <c r="AW94" s="86">
        <f>IF(OR($AW$6=Y94),$AW$6,"")</f>
        <v/>
      </c>
      <c r="AX94" s="87">
        <f t="array" ref="AX94">IF(OR(AV94:AW94={"到貨","庫存"}),"完成","")</f>
        <v/>
      </c>
      <c r="AY94" s="92">
        <f>E94*$M$1</f>
        <v/>
      </c>
    </row>
    <row r="95" outlineLevel="1" ht="14.25" customHeight="1">
      <c r="A95" s="67" t="n">
        <v>90</v>
      </c>
      <c r="B95" s="526" t="n"/>
      <c r="C95" s="393" t="n"/>
      <c r="D95" s="427" t="n"/>
      <c r="E95" s="526" t="n"/>
      <c r="F95" s="526" t="n"/>
      <c r="G95" s="527" t="n"/>
      <c r="H95" s="393" t="n"/>
      <c r="I95" s="528" t="n"/>
      <c r="J95" s="528" t="n"/>
      <c r="K95" s="528" t="n"/>
      <c r="L95" s="529" t="n"/>
      <c r="M95" s="529" t="n"/>
      <c r="N95" s="530" t="n"/>
      <c r="O95" s="531" t="n"/>
      <c r="P95" s="527" t="n"/>
      <c r="Q95" s="528" t="n"/>
      <c r="R95" s="528" t="n"/>
      <c r="S95" s="528" t="n"/>
      <c r="T95" s="543" t="n"/>
      <c r="U95" s="534" t="n"/>
      <c r="V95" s="516" t="n"/>
      <c r="W95" s="535" t="n"/>
      <c r="X95" s="536" t="n"/>
      <c r="Y95" s="519" t="n"/>
      <c r="Z95" s="683" t="n"/>
      <c r="AA95" s="684" t="n"/>
      <c r="AB95" s="684" t="n"/>
      <c r="AC95" s="684" t="n"/>
      <c r="AD95" s="685" t="n"/>
      <c r="AE95" s="686" t="n"/>
      <c r="AF95" s="684" t="n"/>
      <c r="AG95" s="687" t="n"/>
      <c r="AH95" s="687" t="n"/>
      <c r="AI95" s="684" t="n"/>
      <c r="AJ95" s="686" t="n"/>
      <c r="AK95" s="687" t="n"/>
      <c r="AL95" s="687" t="n"/>
      <c r="AM95" s="687" t="n"/>
      <c r="AN95" s="688" t="n"/>
      <c r="AO95" s="686" t="n"/>
      <c r="AP95" s="689" t="n"/>
      <c r="AQ95" s="689" t="n"/>
      <c r="AR95" s="689" t="n"/>
      <c r="AS95" s="690" t="n"/>
      <c r="AT95" s="691">
        <f>IF(AJ95&lt;&gt;"",(IF(AV95="到貨","",(AJ95-TODAY()))),"")</f>
        <v/>
      </c>
      <c r="AU95" s="692">
        <f>IF(AO95&lt;&gt;"",(AO95-AE95),"")</f>
        <v/>
      </c>
      <c r="AV95" s="86">
        <f>IF(AI95&lt;&gt;"",IF(AS95&lt;&gt;"","到貨","5次發包中"),IF(AH95&lt;&gt;"",IF(AR95&lt;&gt;"","到貨","4次發包中"),IF(AG95&lt;&gt;"",IF(AQ95&lt;&gt;"","到貨","3次發包中"),IF(AF95&lt;&gt;"",IF(AP95&lt;&gt;"","到貨","2次發包中"),IF(AE95&lt;&gt;"",IF(AO95&lt;&gt;"","到貨","發包中"),"")))))</f>
        <v/>
      </c>
      <c r="AW95" s="86">
        <f>IF(OR($AW$6=Y95),$AW$6,"")</f>
        <v/>
      </c>
      <c r="AX95" s="87">
        <f t="array" ref="AX95">IF(OR(AV95:AW95={"到貨","庫存"}),"完成","")</f>
        <v/>
      </c>
      <c r="AY95" s="92">
        <f>E95*$M$1</f>
        <v/>
      </c>
    </row>
    <row r="96" outlineLevel="1" ht="14.25" customHeight="1">
      <c r="A96" s="67" t="n">
        <v>91</v>
      </c>
      <c r="B96" s="526" t="n"/>
      <c r="C96" s="393" t="n"/>
      <c r="D96" s="427" t="n"/>
      <c r="E96" s="526" t="n"/>
      <c r="F96" s="526" t="n"/>
      <c r="G96" s="527" t="n"/>
      <c r="H96" s="393" t="n"/>
      <c r="I96" s="528" t="n"/>
      <c r="J96" s="528" t="n"/>
      <c r="K96" s="528" t="n"/>
      <c r="L96" s="529" t="n"/>
      <c r="M96" s="529" t="n"/>
      <c r="N96" s="530" t="n"/>
      <c r="O96" s="531" t="n"/>
      <c r="P96" s="527" t="n"/>
      <c r="Q96" s="528" t="n"/>
      <c r="R96" s="528" t="n"/>
      <c r="S96" s="528" t="n"/>
      <c r="T96" s="543" t="n"/>
      <c r="U96" s="534" t="n"/>
      <c r="V96" s="516" t="n"/>
      <c r="W96" s="535" t="n"/>
      <c r="X96" s="536" t="n"/>
      <c r="Y96" s="519" t="n"/>
      <c r="Z96" s="683" t="n"/>
      <c r="AA96" s="684" t="n"/>
      <c r="AB96" s="684" t="n"/>
      <c r="AC96" s="684" t="n"/>
      <c r="AD96" s="685" t="n"/>
      <c r="AE96" s="686" t="n"/>
      <c r="AF96" s="684" t="n"/>
      <c r="AG96" s="687" t="n"/>
      <c r="AH96" s="687" t="n"/>
      <c r="AI96" s="684" t="n"/>
      <c r="AJ96" s="686" t="n"/>
      <c r="AK96" s="687" t="n"/>
      <c r="AL96" s="687" t="n"/>
      <c r="AM96" s="687" t="n"/>
      <c r="AN96" s="688" t="n"/>
      <c r="AO96" s="686" t="n"/>
      <c r="AP96" s="689" t="n"/>
      <c r="AQ96" s="689" t="n"/>
      <c r="AR96" s="689" t="n"/>
      <c r="AS96" s="690" t="n"/>
      <c r="AT96" s="691">
        <f>IF(AJ96&lt;&gt;"",(IF(AV96="到貨","",(AJ96-TODAY()))),"")</f>
        <v/>
      </c>
      <c r="AU96" s="692">
        <f>IF(AO96&lt;&gt;"",(AO96-AE96),"")</f>
        <v/>
      </c>
      <c r="AV96" s="86">
        <f>IF(AI96&lt;&gt;"",IF(AS96&lt;&gt;"","到貨","5次發包中"),IF(AH96&lt;&gt;"",IF(AR96&lt;&gt;"","到貨","4次發包中"),IF(AG96&lt;&gt;"",IF(AQ96&lt;&gt;"","到貨","3次發包中"),IF(AF96&lt;&gt;"",IF(AP96&lt;&gt;"","到貨","2次發包中"),IF(AE96&lt;&gt;"",IF(AO96&lt;&gt;"","到貨","發包中"),"")))))</f>
        <v/>
      </c>
      <c r="AW96" s="86">
        <f>IF(OR($AW$6=Y96),$AW$6,"")</f>
        <v/>
      </c>
      <c r="AX96" s="87">
        <f t="array" ref="AX96">IF(OR(AV96:AW96={"到貨","庫存"}),"完成","")</f>
        <v/>
      </c>
      <c r="AY96" s="92">
        <f>E96*$M$1</f>
        <v/>
      </c>
    </row>
    <row r="97" outlineLevel="1" ht="14.25" customHeight="1">
      <c r="A97" s="67" t="n">
        <v>92</v>
      </c>
      <c r="B97" s="526" t="n"/>
      <c r="C97" s="393" t="n"/>
      <c r="D97" s="427" t="n"/>
      <c r="E97" s="526" t="n"/>
      <c r="F97" s="526" t="n"/>
      <c r="G97" s="527" t="n"/>
      <c r="H97" s="393" t="n"/>
      <c r="I97" s="528" t="n"/>
      <c r="J97" s="528" t="n"/>
      <c r="K97" s="528" t="n"/>
      <c r="L97" s="529" t="n"/>
      <c r="M97" s="529" t="n"/>
      <c r="N97" s="530" t="n"/>
      <c r="O97" s="531" t="n"/>
      <c r="P97" s="527" t="n"/>
      <c r="Q97" s="528" t="n"/>
      <c r="R97" s="528" t="n"/>
      <c r="S97" s="528" t="n"/>
      <c r="T97" s="543" t="n"/>
      <c r="U97" s="534" t="n"/>
      <c r="V97" s="516" t="n"/>
      <c r="W97" s="535" t="n"/>
      <c r="X97" s="536" t="n"/>
      <c r="Y97" s="519" t="n"/>
      <c r="Z97" s="683" t="n"/>
      <c r="AA97" s="684" t="n"/>
      <c r="AB97" s="684" t="n"/>
      <c r="AC97" s="684" t="n"/>
      <c r="AD97" s="685" t="n"/>
      <c r="AE97" s="686" t="n"/>
      <c r="AF97" s="684" t="n"/>
      <c r="AG97" s="687" t="n"/>
      <c r="AH97" s="687" t="n"/>
      <c r="AI97" s="684" t="n"/>
      <c r="AJ97" s="686" t="n"/>
      <c r="AK97" s="687" t="n"/>
      <c r="AL97" s="687" t="n"/>
      <c r="AM97" s="687" t="n"/>
      <c r="AN97" s="688" t="n"/>
      <c r="AO97" s="686" t="n"/>
      <c r="AP97" s="689" t="n"/>
      <c r="AQ97" s="689" t="n"/>
      <c r="AR97" s="689" t="n"/>
      <c r="AS97" s="690" t="n"/>
      <c r="AT97" s="691">
        <f>IF(AJ97&lt;&gt;"",(IF(AV97="到貨","",(AJ97-TODAY()))),"")</f>
        <v/>
      </c>
      <c r="AU97" s="692">
        <f>IF(AO97&lt;&gt;"",(AO97-AE97),"")</f>
        <v/>
      </c>
      <c r="AV97" s="86">
        <f>IF(AI97&lt;&gt;"",IF(AS97&lt;&gt;"","到貨","5次發包中"),IF(AH97&lt;&gt;"",IF(AR97&lt;&gt;"","到貨","4次發包中"),IF(AG97&lt;&gt;"",IF(AQ97&lt;&gt;"","到貨","3次發包中"),IF(AF97&lt;&gt;"",IF(AP97&lt;&gt;"","到貨","2次發包中"),IF(AE97&lt;&gt;"",IF(AO97&lt;&gt;"","到貨","發包中"),"")))))</f>
        <v/>
      </c>
      <c r="AW97" s="86">
        <f>IF(OR($AW$6=Y97),$AW$6,"")</f>
        <v/>
      </c>
      <c r="AX97" s="87">
        <f t="array" ref="AX97">IF(OR(AV97:AW97={"到貨","庫存"}),"完成","")</f>
        <v/>
      </c>
      <c r="AY97" s="92">
        <f>E97*$M$1</f>
        <v/>
      </c>
    </row>
    <row r="98" outlineLevel="1" ht="14.25" customHeight="1">
      <c r="A98" s="67" t="n">
        <v>93</v>
      </c>
      <c r="B98" s="526" t="n"/>
      <c r="C98" s="393" t="n"/>
      <c r="D98" s="427" t="n"/>
      <c r="E98" s="526" t="n"/>
      <c r="F98" s="526" t="n"/>
      <c r="G98" s="527" t="n"/>
      <c r="H98" s="393" t="n"/>
      <c r="I98" s="528" t="n"/>
      <c r="J98" s="528" t="n"/>
      <c r="K98" s="528" t="n"/>
      <c r="L98" s="529" t="n"/>
      <c r="M98" s="529" t="n"/>
      <c r="N98" s="530" t="n"/>
      <c r="O98" s="531" t="n"/>
      <c r="P98" s="527" t="n"/>
      <c r="Q98" s="528" t="n"/>
      <c r="R98" s="528" t="n"/>
      <c r="S98" s="528" t="n"/>
      <c r="T98" s="543" t="n"/>
      <c r="U98" s="534" t="n"/>
      <c r="V98" s="516" t="n"/>
      <c r="W98" s="535" t="n"/>
      <c r="X98" s="536" t="n"/>
      <c r="Y98" s="519" t="n"/>
      <c r="Z98" s="683" t="n"/>
      <c r="AA98" s="684" t="n"/>
      <c r="AB98" s="684" t="n"/>
      <c r="AC98" s="684" t="n"/>
      <c r="AD98" s="685" t="n"/>
      <c r="AE98" s="686" t="n"/>
      <c r="AF98" s="684" t="n"/>
      <c r="AG98" s="687" t="n"/>
      <c r="AH98" s="687" t="n"/>
      <c r="AI98" s="684" t="n"/>
      <c r="AJ98" s="686" t="n"/>
      <c r="AK98" s="687" t="n"/>
      <c r="AL98" s="687" t="n"/>
      <c r="AM98" s="687" t="n"/>
      <c r="AN98" s="688" t="n"/>
      <c r="AO98" s="686" t="n"/>
      <c r="AP98" s="689" t="n"/>
      <c r="AQ98" s="689" t="n"/>
      <c r="AR98" s="689" t="n"/>
      <c r="AS98" s="690" t="n"/>
      <c r="AT98" s="691">
        <f>IF(AJ98&lt;&gt;"",(IF(AV98="到貨","",(AJ98-TODAY()))),"")</f>
        <v/>
      </c>
      <c r="AU98" s="692">
        <f>IF(AO98&lt;&gt;"",(AO98-AE98),"")</f>
        <v/>
      </c>
      <c r="AV98" s="86">
        <f>IF(AI98&lt;&gt;"",IF(AS98&lt;&gt;"","到貨","5次發包中"),IF(AH98&lt;&gt;"",IF(AR98&lt;&gt;"","到貨","4次發包中"),IF(AG98&lt;&gt;"",IF(AQ98&lt;&gt;"","到貨","3次發包中"),IF(AF98&lt;&gt;"",IF(AP98&lt;&gt;"","到貨","2次發包中"),IF(AE98&lt;&gt;"",IF(AO98&lt;&gt;"","到貨","發包中"),"")))))</f>
        <v/>
      </c>
      <c r="AW98" s="86">
        <f>IF(OR($AW$6=Y98),$AW$6,"")</f>
        <v/>
      </c>
      <c r="AX98" s="87">
        <f t="array" ref="AX98">IF(OR(AV98:AW98={"到貨","庫存"}),"完成","")</f>
        <v/>
      </c>
      <c r="AY98" s="92">
        <f>E98*$M$1</f>
        <v/>
      </c>
    </row>
    <row r="99" outlineLevel="1" ht="14.25" customHeight="1">
      <c r="A99" s="67" t="n">
        <v>94</v>
      </c>
      <c r="B99" s="526" t="n"/>
      <c r="C99" s="393" t="n"/>
      <c r="D99" s="427" t="n"/>
      <c r="E99" s="526" t="n"/>
      <c r="F99" s="526" t="n"/>
      <c r="G99" s="527" t="n"/>
      <c r="H99" s="393" t="n"/>
      <c r="I99" s="528" t="n"/>
      <c r="J99" s="528" t="n"/>
      <c r="K99" s="528" t="n"/>
      <c r="L99" s="529" t="n"/>
      <c r="M99" s="529" t="n"/>
      <c r="N99" s="530" t="n"/>
      <c r="O99" s="531" t="n"/>
      <c r="P99" s="527" t="n"/>
      <c r="Q99" s="528" t="n"/>
      <c r="R99" s="528" t="n"/>
      <c r="S99" s="528" t="n"/>
      <c r="T99" s="543" t="n"/>
      <c r="U99" s="534" t="n"/>
      <c r="V99" s="516" t="n"/>
      <c r="W99" s="535" t="n"/>
      <c r="X99" s="536" t="n"/>
      <c r="Y99" s="519" t="n"/>
      <c r="Z99" s="683" t="n"/>
      <c r="AA99" s="684" t="n"/>
      <c r="AB99" s="684" t="n"/>
      <c r="AC99" s="684" t="n"/>
      <c r="AD99" s="685" t="n"/>
      <c r="AE99" s="686" t="n"/>
      <c r="AF99" s="684" t="n"/>
      <c r="AG99" s="687" t="n"/>
      <c r="AH99" s="687" t="n"/>
      <c r="AI99" s="684" t="n"/>
      <c r="AJ99" s="686" t="n"/>
      <c r="AK99" s="687" t="n"/>
      <c r="AL99" s="687" t="n"/>
      <c r="AM99" s="687" t="n"/>
      <c r="AN99" s="688" t="n"/>
      <c r="AO99" s="686" t="n"/>
      <c r="AP99" s="689" t="n"/>
      <c r="AQ99" s="689" t="n"/>
      <c r="AR99" s="689" t="n"/>
      <c r="AS99" s="690" t="n"/>
      <c r="AT99" s="691">
        <f>IF(AJ99&lt;&gt;"",(IF(AV99="到貨","",(AJ99-TODAY()))),"")</f>
        <v/>
      </c>
      <c r="AU99" s="692">
        <f>IF(AO99&lt;&gt;"",(AO99-AE99),"")</f>
        <v/>
      </c>
      <c r="AV99" s="86">
        <f>IF(AI99&lt;&gt;"",IF(AS99&lt;&gt;"","到貨","5次發包中"),IF(AH99&lt;&gt;"",IF(AR99&lt;&gt;"","到貨","4次發包中"),IF(AG99&lt;&gt;"",IF(AQ99&lt;&gt;"","到貨","3次發包中"),IF(AF99&lt;&gt;"",IF(AP99&lt;&gt;"","到貨","2次發包中"),IF(AE99&lt;&gt;"",IF(AO99&lt;&gt;"","到貨","發包中"),"")))))</f>
        <v/>
      </c>
      <c r="AW99" s="86">
        <f>IF(OR($AW$6=Y99),$AW$6,"")</f>
        <v/>
      </c>
      <c r="AX99" s="87">
        <f t="array" ref="AX99">IF(OR(AV99:AW99={"到貨","庫存"}),"完成","")</f>
        <v/>
      </c>
      <c r="AY99" s="92">
        <f>E99*$M$1</f>
        <v/>
      </c>
    </row>
    <row r="100" outlineLevel="1" ht="14.25" customHeight="1">
      <c r="A100" s="67" t="n">
        <v>95</v>
      </c>
      <c r="B100" s="526" t="n"/>
      <c r="C100" s="393" t="n"/>
      <c r="D100" s="427" t="n"/>
      <c r="E100" s="526" t="n"/>
      <c r="F100" s="526" t="n"/>
      <c r="G100" s="527" t="n"/>
      <c r="H100" s="393" t="n"/>
      <c r="I100" s="528" t="n"/>
      <c r="J100" s="528" t="n"/>
      <c r="K100" s="528" t="n"/>
      <c r="L100" s="529" t="n"/>
      <c r="M100" s="529" t="n"/>
      <c r="N100" s="530" t="n"/>
      <c r="O100" s="531" t="n"/>
      <c r="P100" s="527" t="n"/>
      <c r="Q100" s="528" t="n"/>
      <c r="R100" s="528" t="n"/>
      <c r="S100" s="528" t="n"/>
      <c r="T100" s="543" t="n"/>
      <c r="U100" s="534" t="n"/>
      <c r="V100" s="516" t="n"/>
      <c r="W100" s="535" t="n"/>
      <c r="X100" s="536" t="n"/>
      <c r="Y100" s="519" t="n"/>
      <c r="Z100" s="683" t="n"/>
      <c r="AA100" s="684" t="n"/>
      <c r="AB100" s="684" t="n"/>
      <c r="AC100" s="684" t="n"/>
      <c r="AD100" s="685" t="n"/>
      <c r="AE100" s="686" t="n"/>
      <c r="AF100" s="684" t="n"/>
      <c r="AG100" s="687" t="n"/>
      <c r="AH100" s="687" t="n"/>
      <c r="AI100" s="684" t="n"/>
      <c r="AJ100" s="686" t="n"/>
      <c r="AK100" s="687" t="n"/>
      <c r="AL100" s="687" t="n"/>
      <c r="AM100" s="687" t="n"/>
      <c r="AN100" s="688" t="n"/>
      <c r="AO100" s="686" t="n"/>
      <c r="AP100" s="689" t="n"/>
      <c r="AQ100" s="689" t="n"/>
      <c r="AR100" s="689" t="n"/>
      <c r="AS100" s="690" t="n"/>
      <c r="AT100" s="691">
        <f>IF(AJ100&lt;&gt;"",(IF(AV100="到貨","",(AJ100-TODAY()))),"")</f>
        <v/>
      </c>
      <c r="AU100" s="692">
        <f>IF(AO100&lt;&gt;"",(AO100-AE100),"")</f>
        <v/>
      </c>
      <c r="AV100" s="86">
        <f>IF(AI100&lt;&gt;"",IF(AS100&lt;&gt;"","到貨","5次發包中"),IF(AH100&lt;&gt;"",IF(AR100&lt;&gt;"","到貨","4次發包中"),IF(AG100&lt;&gt;"",IF(AQ100&lt;&gt;"","到貨","3次發包中"),IF(AF100&lt;&gt;"",IF(AP100&lt;&gt;"","到貨","2次發包中"),IF(AE100&lt;&gt;"",IF(AO100&lt;&gt;"","到貨","發包中"),"")))))</f>
        <v/>
      </c>
      <c r="AW100" s="86">
        <f>IF(OR($AW$6=Y100),$AW$6,"")</f>
        <v/>
      </c>
      <c r="AX100" s="87">
        <f t="array" ref="AX100">IF(OR(AV100:AW100={"到貨","庫存"}),"完成","")</f>
        <v/>
      </c>
      <c r="AY100" s="92">
        <f>E100*$M$1</f>
        <v/>
      </c>
    </row>
    <row r="101" outlineLevel="1" ht="14.25" customHeight="1">
      <c r="A101" s="67" t="n">
        <v>96</v>
      </c>
      <c r="B101" s="526" t="n"/>
      <c r="C101" s="393" t="n"/>
      <c r="D101" s="427" t="n"/>
      <c r="E101" s="526" t="n"/>
      <c r="F101" s="526" t="n"/>
      <c r="G101" s="527" t="n"/>
      <c r="H101" s="393" t="n"/>
      <c r="I101" s="528" t="n"/>
      <c r="J101" s="528" t="n"/>
      <c r="K101" s="528" t="n"/>
      <c r="L101" s="529" t="n"/>
      <c r="M101" s="529" t="n"/>
      <c r="N101" s="530" t="n"/>
      <c r="O101" s="531" t="n"/>
      <c r="P101" s="527" t="n"/>
      <c r="Q101" s="528" t="n"/>
      <c r="R101" s="528" t="n"/>
      <c r="S101" s="528" t="n"/>
      <c r="T101" s="543" t="n"/>
      <c r="U101" s="534" t="n"/>
      <c r="V101" s="516" t="n"/>
      <c r="W101" s="535" t="n"/>
      <c r="X101" s="536" t="n"/>
      <c r="Y101" s="519" t="n"/>
      <c r="Z101" s="683" t="n"/>
      <c r="AA101" s="684" t="n"/>
      <c r="AB101" s="684" t="n"/>
      <c r="AC101" s="684" t="n"/>
      <c r="AD101" s="685" t="n"/>
      <c r="AE101" s="686" t="n"/>
      <c r="AF101" s="684" t="n"/>
      <c r="AG101" s="687" t="n"/>
      <c r="AH101" s="687" t="n"/>
      <c r="AI101" s="684" t="n"/>
      <c r="AJ101" s="686" t="n"/>
      <c r="AK101" s="687" t="n"/>
      <c r="AL101" s="687" t="n"/>
      <c r="AM101" s="687" t="n"/>
      <c r="AN101" s="688" t="n"/>
      <c r="AO101" s="686" t="n"/>
      <c r="AP101" s="689" t="n"/>
      <c r="AQ101" s="689" t="n"/>
      <c r="AR101" s="689" t="n"/>
      <c r="AS101" s="690" t="n"/>
      <c r="AT101" s="691">
        <f>IF(AJ101&lt;&gt;"",(IF(AV101="到貨","",(AJ101-TODAY()))),"")</f>
        <v/>
      </c>
      <c r="AU101" s="692">
        <f>IF(AO101&lt;&gt;"",(AO101-AE101),"")</f>
        <v/>
      </c>
      <c r="AV101" s="86">
        <f>IF(AI101&lt;&gt;"",IF(AS101&lt;&gt;"","到貨","5次發包中"),IF(AH101&lt;&gt;"",IF(AR101&lt;&gt;"","到貨","4次發包中"),IF(AG101&lt;&gt;"",IF(AQ101&lt;&gt;"","到貨","3次發包中"),IF(AF101&lt;&gt;"",IF(AP101&lt;&gt;"","到貨","2次發包中"),IF(AE101&lt;&gt;"",IF(AO101&lt;&gt;"","到貨","發包中"),"")))))</f>
        <v/>
      </c>
      <c r="AW101" s="86">
        <f>IF(OR($AW$6=Y101),$AW$6,"")</f>
        <v/>
      </c>
      <c r="AX101" s="87">
        <f t="array" ref="AX101">IF(OR(AV101:AW101={"到貨","庫存"}),"完成","")</f>
        <v/>
      </c>
      <c r="AY101" s="92">
        <f>E101*$M$1</f>
        <v/>
      </c>
    </row>
    <row r="102" outlineLevel="1" ht="14.25" customHeight="1">
      <c r="A102" s="67" t="n">
        <v>97</v>
      </c>
      <c r="B102" s="526" t="n"/>
      <c r="C102" s="393" t="n"/>
      <c r="D102" s="427" t="n"/>
      <c r="E102" s="526" t="n"/>
      <c r="F102" s="526" t="n"/>
      <c r="G102" s="527" t="n"/>
      <c r="H102" s="393" t="n"/>
      <c r="I102" s="528" t="n"/>
      <c r="J102" s="528" t="n"/>
      <c r="K102" s="528" t="n"/>
      <c r="L102" s="529" t="n"/>
      <c r="M102" s="529" t="n"/>
      <c r="N102" s="530" t="n"/>
      <c r="O102" s="531" t="n"/>
      <c r="P102" s="527" t="n"/>
      <c r="Q102" s="528" t="n"/>
      <c r="R102" s="528" t="n"/>
      <c r="S102" s="528" t="n"/>
      <c r="T102" s="543" t="n"/>
      <c r="U102" s="534" t="n"/>
      <c r="V102" s="516" t="n"/>
      <c r="W102" s="535" t="n"/>
      <c r="X102" s="536" t="n"/>
      <c r="Y102" s="519" t="n"/>
      <c r="Z102" s="683" t="n"/>
      <c r="AA102" s="684" t="n"/>
      <c r="AB102" s="684" t="n"/>
      <c r="AC102" s="684" t="n"/>
      <c r="AD102" s="685" t="n"/>
      <c r="AE102" s="686" t="n"/>
      <c r="AF102" s="684" t="n"/>
      <c r="AG102" s="687" t="n"/>
      <c r="AH102" s="687" t="n"/>
      <c r="AI102" s="684" t="n"/>
      <c r="AJ102" s="686" t="n"/>
      <c r="AK102" s="687" t="n"/>
      <c r="AL102" s="687" t="n"/>
      <c r="AM102" s="687" t="n"/>
      <c r="AN102" s="688" t="n"/>
      <c r="AO102" s="686" t="n"/>
      <c r="AP102" s="689" t="n"/>
      <c r="AQ102" s="689" t="n"/>
      <c r="AR102" s="689" t="n"/>
      <c r="AS102" s="690" t="n"/>
      <c r="AT102" s="691">
        <f>IF(AJ102&lt;&gt;"",(IF(AV102="到貨","",(AJ102-TODAY()))),"")</f>
        <v/>
      </c>
      <c r="AU102" s="692">
        <f>IF(AO102&lt;&gt;"",(AO102-AE102),"")</f>
        <v/>
      </c>
      <c r="AV102" s="86">
        <f>IF(AI102&lt;&gt;"",IF(AS102&lt;&gt;"","到貨","5次發包中"),IF(AH102&lt;&gt;"",IF(AR102&lt;&gt;"","到貨","4次發包中"),IF(AG102&lt;&gt;"",IF(AQ102&lt;&gt;"","到貨","3次發包中"),IF(AF102&lt;&gt;"",IF(AP102&lt;&gt;"","到貨","2次發包中"),IF(AE102&lt;&gt;"",IF(AO102&lt;&gt;"","到貨","發包中"),"")))))</f>
        <v/>
      </c>
      <c r="AW102" s="86">
        <f>IF(OR($AW$6=Y102),$AW$6,"")</f>
        <v/>
      </c>
      <c r="AX102" s="87">
        <f t="array" ref="AX102">IF(OR(AV102:AW102={"到貨","庫存"}),"完成","")</f>
        <v/>
      </c>
      <c r="AY102" s="92">
        <f>E102*$M$1</f>
        <v/>
      </c>
    </row>
    <row r="103" outlineLevel="1" ht="14.25" customHeight="1">
      <c r="A103" s="67" t="n">
        <v>98</v>
      </c>
      <c r="B103" s="526" t="n"/>
      <c r="C103" s="393" t="n"/>
      <c r="D103" s="427" t="n"/>
      <c r="E103" s="526" t="n"/>
      <c r="F103" s="526" t="n"/>
      <c r="G103" s="527" t="n"/>
      <c r="H103" s="393" t="n"/>
      <c r="I103" s="528" t="n"/>
      <c r="J103" s="528" t="n"/>
      <c r="K103" s="528" t="n"/>
      <c r="L103" s="529" t="n"/>
      <c r="M103" s="529" t="n"/>
      <c r="N103" s="530" t="n"/>
      <c r="O103" s="531" t="n"/>
      <c r="P103" s="527" t="n"/>
      <c r="Q103" s="528" t="n"/>
      <c r="R103" s="528" t="n"/>
      <c r="S103" s="528" t="n"/>
      <c r="T103" s="543" t="n"/>
      <c r="U103" s="534" t="n"/>
      <c r="V103" s="516" t="n"/>
      <c r="W103" s="535" t="n"/>
      <c r="X103" s="536" t="n"/>
      <c r="Y103" s="519" t="n"/>
      <c r="Z103" s="683" t="n"/>
      <c r="AA103" s="684" t="n"/>
      <c r="AB103" s="684" t="n"/>
      <c r="AC103" s="684" t="n"/>
      <c r="AD103" s="685" t="n"/>
      <c r="AE103" s="686" t="n"/>
      <c r="AF103" s="684" t="n"/>
      <c r="AG103" s="687" t="n"/>
      <c r="AH103" s="687" t="n"/>
      <c r="AI103" s="684" t="n"/>
      <c r="AJ103" s="686" t="n"/>
      <c r="AK103" s="687" t="n"/>
      <c r="AL103" s="687" t="n"/>
      <c r="AM103" s="687" t="n"/>
      <c r="AN103" s="688" t="n"/>
      <c r="AO103" s="686" t="n"/>
      <c r="AP103" s="689" t="n"/>
      <c r="AQ103" s="689" t="n"/>
      <c r="AR103" s="689" t="n"/>
      <c r="AS103" s="690" t="n"/>
      <c r="AT103" s="691">
        <f>IF(AJ103&lt;&gt;"",(IF(AV103="到貨","",(AJ103-TODAY()))),"")</f>
        <v/>
      </c>
      <c r="AU103" s="692">
        <f>IF(AO103&lt;&gt;"",(AO103-AE103),"")</f>
        <v/>
      </c>
      <c r="AV103" s="86">
        <f>IF(AI103&lt;&gt;"",IF(AS103&lt;&gt;"","到貨","5次發包中"),IF(AH103&lt;&gt;"",IF(AR103&lt;&gt;"","到貨","4次發包中"),IF(AG103&lt;&gt;"",IF(AQ103&lt;&gt;"","到貨","3次發包中"),IF(AF103&lt;&gt;"",IF(AP103&lt;&gt;"","到貨","2次發包中"),IF(AE103&lt;&gt;"",IF(AO103&lt;&gt;"","到貨","發包中"),"")))))</f>
        <v/>
      </c>
      <c r="AW103" s="86">
        <f>IF(OR($AW$6=Y103),$AW$6,"")</f>
        <v/>
      </c>
      <c r="AX103" s="87">
        <f t="array" ref="AX103">IF(OR(AV103:AW103={"到貨","庫存"}),"完成","")</f>
        <v/>
      </c>
      <c r="AY103" s="92">
        <f>E103*$M$1</f>
        <v/>
      </c>
    </row>
    <row r="104" outlineLevel="1" ht="14.25" customHeight="1">
      <c r="A104" s="67" t="n">
        <v>99</v>
      </c>
      <c r="B104" s="526" t="n"/>
      <c r="C104" s="393" t="n"/>
      <c r="D104" s="427" t="n"/>
      <c r="E104" s="526" t="n"/>
      <c r="F104" s="526" t="n"/>
      <c r="G104" s="527" t="n"/>
      <c r="H104" s="393" t="n"/>
      <c r="I104" s="528" t="n"/>
      <c r="J104" s="528" t="n"/>
      <c r="K104" s="528" t="n"/>
      <c r="L104" s="529" t="n"/>
      <c r="M104" s="529" t="n"/>
      <c r="N104" s="530" t="n"/>
      <c r="O104" s="531" t="n"/>
      <c r="P104" s="527" t="n"/>
      <c r="Q104" s="528" t="n"/>
      <c r="R104" s="528" t="n"/>
      <c r="S104" s="528" t="n"/>
      <c r="T104" s="543" t="n"/>
      <c r="U104" s="534" t="n"/>
      <c r="V104" s="516" t="n"/>
      <c r="W104" s="535" t="n"/>
      <c r="X104" s="536" t="n"/>
      <c r="Y104" s="519" t="n"/>
      <c r="Z104" s="683" t="n"/>
      <c r="AA104" s="684" t="n"/>
      <c r="AB104" s="684" t="n"/>
      <c r="AC104" s="684" t="n"/>
      <c r="AD104" s="685" t="n"/>
      <c r="AE104" s="686" t="n"/>
      <c r="AF104" s="684" t="n"/>
      <c r="AG104" s="687" t="n"/>
      <c r="AH104" s="687" t="n"/>
      <c r="AI104" s="684" t="n"/>
      <c r="AJ104" s="686" t="n"/>
      <c r="AK104" s="687" t="n"/>
      <c r="AL104" s="687" t="n"/>
      <c r="AM104" s="687" t="n"/>
      <c r="AN104" s="688" t="n"/>
      <c r="AO104" s="686" t="n"/>
      <c r="AP104" s="689" t="n"/>
      <c r="AQ104" s="689" t="n"/>
      <c r="AR104" s="689" t="n"/>
      <c r="AS104" s="690" t="n"/>
      <c r="AT104" s="691">
        <f>IF(AJ104&lt;&gt;"",(IF(AV104="到貨","",(AJ104-TODAY()))),"")</f>
        <v/>
      </c>
      <c r="AU104" s="692">
        <f>IF(AO104&lt;&gt;"",(AO104-AE104),"")</f>
        <v/>
      </c>
      <c r="AV104" s="86">
        <f>IF(AI104&lt;&gt;"",IF(AS104&lt;&gt;"","到貨","5次發包中"),IF(AH104&lt;&gt;"",IF(AR104&lt;&gt;"","到貨","4次發包中"),IF(AG104&lt;&gt;"",IF(AQ104&lt;&gt;"","到貨","3次發包中"),IF(AF104&lt;&gt;"",IF(AP104&lt;&gt;"","到貨","2次發包中"),IF(AE104&lt;&gt;"",IF(AO104&lt;&gt;"","到貨","發包中"),"")))))</f>
        <v/>
      </c>
      <c r="AW104" s="86">
        <f>IF(OR($AW$6=Y104),$AW$6,"")</f>
        <v/>
      </c>
      <c r="AX104" s="87">
        <f t="array" ref="AX104">IF(OR(AV104:AW104={"到貨","庫存"}),"完成","")</f>
        <v/>
      </c>
      <c r="AY104" s="92">
        <f>E104*$M$1</f>
        <v/>
      </c>
    </row>
    <row r="105" outlineLevel="1" ht="14.25" customHeight="1">
      <c r="A105" s="67" t="n">
        <v>100</v>
      </c>
      <c r="B105" s="526" t="n"/>
      <c r="C105" s="393" t="n"/>
      <c r="D105" s="427" t="n"/>
      <c r="E105" s="526" t="n"/>
      <c r="F105" s="526" t="n"/>
      <c r="G105" s="527" t="n"/>
      <c r="H105" s="393" t="n"/>
      <c r="I105" s="528" t="n"/>
      <c r="J105" s="528" t="n"/>
      <c r="K105" s="528" t="n"/>
      <c r="L105" s="529" t="n"/>
      <c r="M105" s="529" t="n"/>
      <c r="N105" s="530" t="n"/>
      <c r="O105" s="531" t="n"/>
      <c r="P105" s="527" t="n"/>
      <c r="Q105" s="528" t="n"/>
      <c r="R105" s="528" t="n"/>
      <c r="S105" s="528" t="n"/>
      <c r="T105" s="543" t="n"/>
      <c r="U105" s="534" t="n"/>
      <c r="V105" s="516" t="n"/>
      <c r="W105" s="535" t="n"/>
      <c r="X105" s="536" t="n"/>
      <c r="Y105" s="519" t="n"/>
      <c r="Z105" s="683" t="n"/>
      <c r="AA105" s="684" t="n"/>
      <c r="AB105" s="684" t="n"/>
      <c r="AC105" s="684" t="n"/>
      <c r="AD105" s="685" t="n"/>
      <c r="AE105" s="686" t="n"/>
      <c r="AF105" s="684" t="n"/>
      <c r="AG105" s="687" t="n"/>
      <c r="AH105" s="687" t="n"/>
      <c r="AI105" s="684" t="n"/>
      <c r="AJ105" s="686" t="n"/>
      <c r="AK105" s="687" t="n"/>
      <c r="AL105" s="687" t="n"/>
      <c r="AM105" s="687" t="n"/>
      <c r="AN105" s="688" t="n"/>
      <c r="AO105" s="686" t="n"/>
      <c r="AP105" s="689" t="n"/>
      <c r="AQ105" s="689" t="n"/>
      <c r="AR105" s="689" t="n"/>
      <c r="AS105" s="690" t="n"/>
      <c r="AT105" s="691">
        <f>IF(AJ105&lt;&gt;"",(IF(AV105="到貨","",(AJ105-TODAY()))),"")</f>
        <v/>
      </c>
      <c r="AU105" s="692">
        <f>IF(AO105&lt;&gt;"",(AO105-AE105),"")</f>
        <v/>
      </c>
      <c r="AV105" s="86">
        <f>IF(AI105&lt;&gt;"",IF(AS105&lt;&gt;"","到貨","5次發包中"),IF(AH105&lt;&gt;"",IF(AR105&lt;&gt;"","到貨","4次發包中"),IF(AG105&lt;&gt;"",IF(AQ105&lt;&gt;"","到貨","3次發包中"),IF(AF105&lt;&gt;"",IF(AP105&lt;&gt;"","到貨","2次發包中"),IF(AE105&lt;&gt;"",IF(AO105&lt;&gt;"","到貨","發包中"),"")))))</f>
        <v/>
      </c>
      <c r="AW105" s="86">
        <f>IF(OR($AW$6=Y105),$AW$6,"")</f>
        <v/>
      </c>
      <c r="AX105" s="87">
        <f t="array" ref="AX105">IF(OR(AV105:AW105={"到貨","庫存"}),"完成","")</f>
        <v/>
      </c>
      <c r="AY105" s="92">
        <f>E105*$M$1</f>
        <v/>
      </c>
    </row>
    <row r="106" outlineLevel="1" ht="14.25" customHeight="1">
      <c r="A106" s="67" t="n">
        <v>101</v>
      </c>
      <c r="B106" s="526" t="n"/>
      <c r="C106" s="393" t="n"/>
      <c r="D106" s="427" t="n"/>
      <c r="E106" s="526" t="n"/>
      <c r="F106" s="526" t="n"/>
      <c r="G106" s="527" t="n"/>
      <c r="H106" s="393" t="n"/>
      <c r="I106" s="528" t="n"/>
      <c r="J106" s="528" t="n"/>
      <c r="K106" s="528" t="n"/>
      <c r="L106" s="529" t="n"/>
      <c r="M106" s="529" t="n"/>
      <c r="N106" s="530" t="n"/>
      <c r="O106" s="531" t="n"/>
      <c r="P106" s="527" t="n"/>
      <c r="Q106" s="528" t="n"/>
      <c r="R106" s="528" t="n"/>
      <c r="S106" s="528" t="n"/>
      <c r="T106" s="543" t="n"/>
      <c r="U106" s="534" t="n"/>
      <c r="V106" s="516" t="n"/>
      <c r="W106" s="535" t="n"/>
      <c r="X106" s="536" t="n"/>
      <c r="Y106" s="519" t="n"/>
      <c r="Z106" s="683" t="n"/>
      <c r="AA106" s="684" t="n"/>
      <c r="AB106" s="684" t="n"/>
      <c r="AC106" s="684" t="n"/>
      <c r="AD106" s="685" t="n"/>
      <c r="AE106" s="686" t="n"/>
      <c r="AF106" s="684" t="n"/>
      <c r="AG106" s="687" t="n"/>
      <c r="AH106" s="687" t="n"/>
      <c r="AI106" s="684" t="n"/>
      <c r="AJ106" s="686" t="n"/>
      <c r="AK106" s="687" t="n"/>
      <c r="AL106" s="687" t="n"/>
      <c r="AM106" s="687" t="n"/>
      <c r="AN106" s="688" t="n"/>
      <c r="AO106" s="686" t="n"/>
      <c r="AP106" s="689" t="n"/>
      <c r="AQ106" s="689" t="n"/>
      <c r="AR106" s="689" t="n"/>
      <c r="AS106" s="690" t="n"/>
      <c r="AT106" s="691">
        <f>IF(AJ106&lt;&gt;"",(IF(AV106="到貨","",(AJ106-TODAY()))),"")</f>
        <v/>
      </c>
      <c r="AU106" s="692">
        <f>IF(AO106&lt;&gt;"",(AO106-AE106),"")</f>
        <v/>
      </c>
      <c r="AV106" s="86">
        <f>IF(AI106&lt;&gt;"",IF(AS106&lt;&gt;"","到貨","5次發包中"),IF(AH106&lt;&gt;"",IF(AR106&lt;&gt;"","到貨","4次發包中"),IF(AG106&lt;&gt;"",IF(AQ106&lt;&gt;"","到貨","3次發包中"),IF(AF106&lt;&gt;"",IF(AP106&lt;&gt;"","到貨","2次發包中"),IF(AE106&lt;&gt;"",IF(AO106&lt;&gt;"","到貨","發包中"),"")))))</f>
        <v/>
      </c>
      <c r="AW106" s="86">
        <f>IF(OR($AW$6=Y106),$AW$6,"")</f>
        <v/>
      </c>
      <c r="AX106" s="87">
        <f t="array" ref="AX106">IF(OR(AV106:AW106={"到貨","庫存"}),"完成","")</f>
        <v/>
      </c>
      <c r="AY106" s="92">
        <f>E106*$M$1</f>
        <v/>
      </c>
    </row>
    <row r="107" outlineLevel="1" ht="14.25" customHeight="1">
      <c r="A107" s="43" t="n">
        <v>102</v>
      </c>
      <c r="B107" s="526" t="n"/>
      <c r="C107" s="393" t="n"/>
      <c r="D107" s="427" t="n"/>
      <c r="E107" s="526" t="n"/>
      <c r="F107" s="526" t="n"/>
      <c r="G107" s="527" t="n"/>
      <c r="H107" s="393" t="n"/>
      <c r="I107" s="528" t="n"/>
      <c r="J107" s="528" t="n"/>
      <c r="K107" s="528" t="n"/>
      <c r="L107" s="529" t="n"/>
      <c r="M107" s="529" t="n"/>
      <c r="N107" s="530" t="n"/>
      <c r="O107" s="531" t="n"/>
      <c r="P107" s="527" t="n"/>
      <c r="Q107" s="528" t="n"/>
      <c r="R107" s="528" t="n"/>
      <c r="S107" s="528" t="n"/>
      <c r="T107" s="543" t="n"/>
      <c r="U107" s="534" t="n"/>
      <c r="V107" s="516" t="n"/>
      <c r="W107" s="535" t="n"/>
      <c r="X107" s="536" t="n"/>
      <c r="Y107" s="519" t="n"/>
      <c r="Z107" s="683" t="n"/>
      <c r="AA107" s="684" t="n"/>
      <c r="AB107" s="684" t="n"/>
      <c r="AC107" s="684" t="n"/>
      <c r="AD107" s="685" t="n"/>
      <c r="AE107" s="686" t="n"/>
      <c r="AF107" s="684" t="n"/>
      <c r="AG107" s="687" t="n"/>
      <c r="AH107" s="687" t="n"/>
      <c r="AI107" s="684" t="n"/>
      <c r="AJ107" s="686" t="n"/>
      <c r="AK107" s="687" t="n"/>
      <c r="AL107" s="687" t="n"/>
      <c r="AM107" s="687" t="n"/>
      <c r="AN107" s="688" t="n"/>
      <c r="AO107" s="686" t="n"/>
      <c r="AP107" s="689" t="n"/>
      <c r="AQ107" s="689" t="n"/>
      <c r="AR107" s="689" t="n"/>
      <c r="AS107" s="690" t="n"/>
      <c r="AT107" s="691">
        <f>IF(AJ107&lt;&gt;"",(IF(AV107="到貨","",(AJ107-TODAY()))),"")</f>
        <v/>
      </c>
      <c r="AU107" s="692">
        <f>IF(AO107&lt;&gt;"",(AO107-AE107),"")</f>
        <v/>
      </c>
      <c r="AV107" s="86">
        <f>IF(AI107&lt;&gt;"",IF(AS107&lt;&gt;"","到貨","5次發包中"),IF(AH107&lt;&gt;"",IF(AR107&lt;&gt;"","到貨","4次發包中"),IF(AG107&lt;&gt;"",IF(AQ107&lt;&gt;"","到貨","3次發包中"),IF(AF107&lt;&gt;"",IF(AP107&lt;&gt;"","到貨","2次發包中"),IF(AE107&lt;&gt;"",IF(AO107&lt;&gt;"","到貨","發包中"),"")))))</f>
        <v/>
      </c>
      <c r="AW107" s="86">
        <f>IF(OR($AW$6=Y107),$AW$6,"")</f>
        <v/>
      </c>
      <c r="AX107" s="87">
        <f t="array" ref="AX107">IF(OR(AV107:AW107={"到貨","庫存"}),"完成","")</f>
        <v/>
      </c>
      <c r="AY107" s="92">
        <f>E107*$M$1</f>
        <v/>
      </c>
    </row>
    <row r="108" outlineLevel="1" ht="14.25" customHeight="1">
      <c r="A108" s="43" t="n">
        <v>103</v>
      </c>
      <c r="B108" s="526" t="n"/>
      <c r="C108" s="393" t="n"/>
      <c r="D108" s="427" t="n"/>
      <c r="E108" s="526" t="n"/>
      <c r="F108" s="526" t="n"/>
      <c r="G108" s="527" t="n"/>
      <c r="H108" s="393" t="n"/>
      <c r="I108" s="528" t="n"/>
      <c r="J108" s="528" t="n"/>
      <c r="K108" s="528" t="n"/>
      <c r="L108" s="529" t="n"/>
      <c r="M108" s="529" t="n"/>
      <c r="N108" s="530" t="n"/>
      <c r="O108" s="531" t="n"/>
      <c r="P108" s="527" t="n"/>
      <c r="Q108" s="528" t="n"/>
      <c r="R108" s="528" t="n"/>
      <c r="S108" s="528" t="n"/>
      <c r="T108" s="543" t="n"/>
      <c r="U108" s="534" t="n"/>
      <c r="V108" s="516" t="n"/>
      <c r="W108" s="535" t="n"/>
      <c r="X108" s="536" t="n"/>
      <c r="Y108" s="519" t="n"/>
      <c r="Z108" s="683" t="n"/>
      <c r="AA108" s="684" t="n"/>
      <c r="AB108" s="684" t="n"/>
      <c r="AC108" s="684" t="n"/>
      <c r="AD108" s="685" t="n"/>
      <c r="AE108" s="686" t="n"/>
      <c r="AF108" s="684" t="n"/>
      <c r="AG108" s="687" t="n"/>
      <c r="AH108" s="687" t="n"/>
      <c r="AI108" s="684" t="n"/>
      <c r="AJ108" s="686" t="n"/>
      <c r="AK108" s="687" t="n"/>
      <c r="AL108" s="687" t="n"/>
      <c r="AM108" s="687" t="n"/>
      <c r="AN108" s="688" t="n"/>
      <c r="AO108" s="686" t="n"/>
      <c r="AP108" s="689" t="n"/>
      <c r="AQ108" s="689" t="n"/>
      <c r="AR108" s="689" t="n"/>
      <c r="AS108" s="690" t="n"/>
      <c r="AT108" s="691">
        <f>IF(AJ108&lt;&gt;"",(IF(AV108="到貨","",(AJ108-TODAY()))),"")</f>
        <v/>
      </c>
      <c r="AU108" s="692">
        <f>IF(AO108&lt;&gt;"",(AO108-AE108),"")</f>
        <v/>
      </c>
      <c r="AV108" s="86">
        <f>IF(AI108&lt;&gt;"",IF(AS108&lt;&gt;"","到貨","5次發包中"),IF(AH108&lt;&gt;"",IF(AR108&lt;&gt;"","到貨","4次發包中"),IF(AG108&lt;&gt;"",IF(AQ108&lt;&gt;"","到貨","3次發包中"),IF(AF108&lt;&gt;"",IF(AP108&lt;&gt;"","到貨","2次發包中"),IF(AE108&lt;&gt;"",IF(AO108&lt;&gt;"","到貨","發包中"),"")))))</f>
        <v/>
      </c>
      <c r="AW108" s="86">
        <f>IF(OR($AW$6=Y108),$AW$6,"")</f>
        <v/>
      </c>
      <c r="AX108" s="87">
        <f t="array" ref="AX108">IF(OR(AV108:AW108={"到貨","庫存"}),"完成","")</f>
        <v/>
      </c>
      <c r="AY108" s="92">
        <f>E108*$M$1</f>
        <v/>
      </c>
    </row>
    <row r="109" outlineLevel="1" ht="14.25" customHeight="1">
      <c r="A109" s="43" t="n">
        <v>104</v>
      </c>
      <c r="B109" s="526" t="n"/>
      <c r="C109" s="393" t="n"/>
      <c r="D109" s="427" t="n"/>
      <c r="E109" s="526" t="n"/>
      <c r="F109" s="526" t="n"/>
      <c r="G109" s="527" t="n"/>
      <c r="H109" s="393" t="n"/>
      <c r="I109" s="528" t="n"/>
      <c r="J109" s="528" t="n"/>
      <c r="K109" s="528" t="n"/>
      <c r="L109" s="529" t="n"/>
      <c r="M109" s="529" t="n"/>
      <c r="N109" s="530" t="n"/>
      <c r="O109" s="531" t="n"/>
      <c r="P109" s="527" t="n"/>
      <c r="Q109" s="528" t="n"/>
      <c r="R109" s="528" t="n"/>
      <c r="S109" s="528" t="n"/>
      <c r="T109" s="543" t="n"/>
      <c r="U109" s="534" t="n"/>
      <c r="V109" s="516" t="n"/>
      <c r="W109" s="535" t="n"/>
      <c r="X109" s="536" t="n"/>
      <c r="Y109" s="519" t="n"/>
      <c r="Z109" s="683" t="n"/>
      <c r="AA109" s="684" t="n"/>
      <c r="AB109" s="684" t="n"/>
      <c r="AC109" s="684" t="n"/>
      <c r="AD109" s="685" t="n"/>
      <c r="AE109" s="686" t="n"/>
      <c r="AF109" s="684" t="n"/>
      <c r="AG109" s="687" t="n"/>
      <c r="AH109" s="687" t="n"/>
      <c r="AI109" s="684" t="n"/>
      <c r="AJ109" s="686" t="n"/>
      <c r="AK109" s="687" t="n"/>
      <c r="AL109" s="687" t="n"/>
      <c r="AM109" s="687" t="n"/>
      <c r="AN109" s="688" t="n"/>
      <c r="AO109" s="686" t="n"/>
      <c r="AP109" s="689" t="n"/>
      <c r="AQ109" s="689" t="n"/>
      <c r="AR109" s="689" t="n"/>
      <c r="AS109" s="690" t="n"/>
      <c r="AT109" s="691">
        <f>IF(AJ109&lt;&gt;"",(IF(AV109="到貨","",(AJ109-TODAY()))),"")</f>
        <v/>
      </c>
      <c r="AU109" s="692">
        <f>IF(AO109&lt;&gt;"",(AO109-AE109),"")</f>
        <v/>
      </c>
      <c r="AV109" s="86">
        <f>IF(AI109&lt;&gt;"",IF(AS109&lt;&gt;"","到貨","5次發包中"),IF(AH109&lt;&gt;"",IF(AR109&lt;&gt;"","到貨","4次發包中"),IF(AG109&lt;&gt;"",IF(AQ109&lt;&gt;"","到貨","3次發包中"),IF(AF109&lt;&gt;"",IF(AP109&lt;&gt;"","到貨","2次發包中"),IF(AE109&lt;&gt;"",IF(AO109&lt;&gt;"","到貨","發包中"),"")))))</f>
        <v/>
      </c>
      <c r="AW109" s="86">
        <f>IF(OR($AW$6=Y109),$AW$6,"")</f>
        <v/>
      </c>
      <c r="AX109" s="87">
        <f t="array" ref="AX109">IF(OR(AV109:AW109={"到貨","庫存"}),"完成","")</f>
        <v/>
      </c>
      <c r="AY109" s="92">
        <f>E109*$M$1</f>
        <v/>
      </c>
    </row>
    <row r="110" outlineLevel="1" ht="14.25" customHeight="1">
      <c r="A110" s="43" t="n">
        <v>105</v>
      </c>
      <c r="B110" s="526" t="n"/>
      <c r="C110" s="393" t="n"/>
      <c r="D110" s="427" t="n"/>
      <c r="E110" s="526" t="n"/>
      <c r="F110" s="526" t="n"/>
      <c r="G110" s="527" t="n"/>
      <c r="H110" s="393" t="n"/>
      <c r="I110" s="528" t="n"/>
      <c r="J110" s="528" t="n"/>
      <c r="K110" s="528" t="n"/>
      <c r="L110" s="529" t="n"/>
      <c r="M110" s="529" t="n"/>
      <c r="N110" s="530" t="n"/>
      <c r="O110" s="531" t="n"/>
      <c r="P110" s="527" t="n"/>
      <c r="Q110" s="528" t="n"/>
      <c r="R110" s="528" t="n"/>
      <c r="S110" s="528" t="n"/>
      <c r="T110" s="543" t="n"/>
      <c r="U110" s="534" t="n"/>
      <c r="V110" s="516" t="n"/>
      <c r="W110" s="535" t="n"/>
      <c r="X110" s="536" t="n"/>
      <c r="Y110" s="519" t="n"/>
      <c r="Z110" s="683" t="n"/>
      <c r="AA110" s="684" t="n"/>
      <c r="AB110" s="684" t="n"/>
      <c r="AC110" s="684" t="n"/>
      <c r="AD110" s="685" t="n"/>
      <c r="AE110" s="686" t="n"/>
      <c r="AF110" s="684" t="n"/>
      <c r="AG110" s="687" t="n"/>
      <c r="AH110" s="687" t="n"/>
      <c r="AI110" s="684" t="n"/>
      <c r="AJ110" s="686" t="n"/>
      <c r="AK110" s="687" t="n"/>
      <c r="AL110" s="687" t="n"/>
      <c r="AM110" s="687" t="n"/>
      <c r="AN110" s="688" t="n"/>
      <c r="AO110" s="686" t="n"/>
      <c r="AP110" s="689" t="n"/>
      <c r="AQ110" s="689" t="n"/>
      <c r="AR110" s="689" t="n"/>
      <c r="AS110" s="690" t="n"/>
      <c r="AT110" s="691">
        <f>IF(AJ110&lt;&gt;"",(IF(AV110="到貨","",(AJ110-TODAY()))),"")</f>
        <v/>
      </c>
      <c r="AU110" s="692">
        <f>IF(AO110&lt;&gt;"",(AO110-AE110),"")</f>
        <v/>
      </c>
      <c r="AV110" s="86">
        <f>IF(AI110&lt;&gt;"",IF(AS110&lt;&gt;"","到貨","5次發包中"),IF(AH110&lt;&gt;"",IF(AR110&lt;&gt;"","到貨","4次發包中"),IF(AG110&lt;&gt;"",IF(AQ110&lt;&gt;"","到貨","3次發包中"),IF(AF110&lt;&gt;"",IF(AP110&lt;&gt;"","到貨","2次發包中"),IF(AE110&lt;&gt;"",IF(AO110&lt;&gt;"","到貨","發包中"),"")))))</f>
        <v/>
      </c>
      <c r="AW110" s="86">
        <f>IF(OR($AW$6=Y110),$AW$6,"")</f>
        <v/>
      </c>
      <c r="AX110" s="87">
        <f t="array" ref="AX110">IF(OR(AV110:AW110={"到貨","庫存"}),"完成","")</f>
        <v/>
      </c>
      <c r="AY110" s="92">
        <f>E110*$M$1</f>
        <v/>
      </c>
    </row>
    <row r="111" outlineLevel="1" ht="14.25" customHeight="1">
      <c r="A111" s="43" t="n">
        <v>106</v>
      </c>
      <c r="B111" s="526" t="n"/>
      <c r="C111" s="393" t="n"/>
      <c r="D111" s="427" t="n"/>
      <c r="E111" s="526" t="n"/>
      <c r="F111" s="526" t="n"/>
      <c r="G111" s="527" t="n"/>
      <c r="H111" s="393" t="n"/>
      <c r="I111" s="528" t="n"/>
      <c r="J111" s="528" t="n"/>
      <c r="K111" s="528" t="n"/>
      <c r="L111" s="529" t="n"/>
      <c r="M111" s="529" t="n"/>
      <c r="N111" s="530" t="n"/>
      <c r="O111" s="531" t="n"/>
      <c r="P111" s="527" t="n"/>
      <c r="Q111" s="528" t="n"/>
      <c r="R111" s="528" t="n"/>
      <c r="S111" s="528" t="n"/>
      <c r="T111" s="543" t="n"/>
      <c r="U111" s="534" t="n"/>
      <c r="V111" s="516" t="n"/>
      <c r="W111" s="535" t="n"/>
      <c r="X111" s="536" t="n"/>
      <c r="Y111" s="519" t="n"/>
      <c r="Z111" s="683" t="n"/>
      <c r="AA111" s="684" t="n"/>
      <c r="AB111" s="684" t="n"/>
      <c r="AC111" s="684" t="n"/>
      <c r="AD111" s="685" t="n"/>
      <c r="AE111" s="686" t="n"/>
      <c r="AF111" s="684" t="n"/>
      <c r="AG111" s="687" t="n"/>
      <c r="AH111" s="687" t="n"/>
      <c r="AI111" s="684" t="n"/>
      <c r="AJ111" s="686" t="n"/>
      <c r="AK111" s="687" t="n"/>
      <c r="AL111" s="687" t="n"/>
      <c r="AM111" s="687" t="n"/>
      <c r="AN111" s="688" t="n"/>
      <c r="AO111" s="686" t="n"/>
      <c r="AP111" s="689" t="n"/>
      <c r="AQ111" s="689" t="n"/>
      <c r="AR111" s="689" t="n"/>
      <c r="AS111" s="690" t="n"/>
      <c r="AT111" s="691">
        <f>IF(AJ111&lt;&gt;"",(IF(AV111="到貨","",(AJ111-TODAY()))),"")</f>
        <v/>
      </c>
      <c r="AU111" s="692">
        <f>IF(AO111&lt;&gt;"",(AO111-AE111),"")</f>
        <v/>
      </c>
      <c r="AV111" s="86">
        <f>IF(AI111&lt;&gt;"",IF(AS111&lt;&gt;"","到貨","5次發包中"),IF(AH111&lt;&gt;"",IF(AR111&lt;&gt;"","到貨","4次發包中"),IF(AG111&lt;&gt;"",IF(AQ111&lt;&gt;"","到貨","3次發包中"),IF(AF111&lt;&gt;"",IF(AP111&lt;&gt;"","到貨","2次發包中"),IF(AE111&lt;&gt;"",IF(AO111&lt;&gt;"","到貨","發包中"),"")))))</f>
        <v/>
      </c>
      <c r="AW111" s="86">
        <f>IF(OR($AW$6=Y111),$AW$6,"")</f>
        <v/>
      </c>
      <c r="AX111" s="87">
        <f t="array" ref="AX111">IF(OR(AV111:AW111={"到貨","庫存"}),"完成","")</f>
        <v/>
      </c>
      <c r="AY111" s="92">
        <f>E111*$M$1</f>
        <v/>
      </c>
    </row>
    <row r="112" outlineLevel="1" ht="14.25" customHeight="1">
      <c r="A112" s="43" t="n">
        <v>107</v>
      </c>
      <c r="B112" s="526" t="n"/>
      <c r="C112" s="393" t="n"/>
      <c r="D112" s="427" t="n"/>
      <c r="E112" s="526" t="n"/>
      <c r="F112" s="526" t="n"/>
      <c r="G112" s="527" t="n"/>
      <c r="H112" s="393" t="n"/>
      <c r="I112" s="528" t="n"/>
      <c r="J112" s="528" t="n"/>
      <c r="K112" s="528" t="n"/>
      <c r="L112" s="529" t="n"/>
      <c r="M112" s="529" t="n"/>
      <c r="N112" s="530" t="n"/>
      <c r="O112" s="531" t="n"/>
      <c r="P112" s="527" t="n"/>
      <c r="Q112" s="528" t="n"/>
      <c r="R112" s="528" t="n"/>
      <c r="S112" s="528" t="n"/>
      <c r="T112" s="543" t="n"/>
      <c r="U112" s="534" t="n"/>
      <c r="V112" s="516" t="n"/>
      <c r="W112" s="535" t="n"/>
      <c r="X112" s="536" t="n"/>
      <c r="Y112" s="519" t="n"/>
      <c r="Z112" s="683" t="n"/>
      <c r="AA112" s="684" t="n"/>
      <c r="AB112" s="684" t="n"/>
      <c r="AC112" s="684" t="n"/>
      <c r="AD112" s="685" t="n"/>
      <c r="AE112" s="686" t="n"/>
      <c r="AF112" s="684" t="n"/>
      <c r="AG112" s="687" t="n"/>
      <c r="AH112" s="687" t="n"/>
      <c r="AI112" s="684" t="n"/>
      <c r="AJ112" s="686" t="n"/>
      <c r="AK112" s="687" t="n"/>
      <c r="AL112" s="687" t="n"/>
      <c r="AM112" s="687" t="n"/>
      <c r="AN112" s="688" t="n"/>
      <c r="AO112" s="686" t="n"/>
      <c r="AP112" s="689" t="n"/>
      <c r="AQ112" s="689" t="n"/>
      <c r="AR112" s="689" t="n"/>
      <c r="AS112" s="690" t="n"/>
      <c r="AT112" s="691">
        <f>IF(AJ112&lt;&gt;"",(IF(AV112="到貨","",(AJ112-TODAY()))),"")</f>
        <v/>
      </c>
      <c r="AU112" s="692">
        <f>IF(AO112&lt;&gt;"",(AO112-AE112),"")</f>
        <v/>
      </c>
      <c r="AV112" s="86">
        <f>IF(AI112&lt;&gt;"",IF(AS112&lt;&gt;"","到貨","5次發包中"),IF(AH112&lt;&gt;"",IF(AR112&lt;&gt;"","到貨","4次發包中"),IF(AG112&lt;&gt;"",IF(AQ112&lt;&gt;"","到貨","3次發包中"),IF(AF112&lt;&gt;"",IF(AP112&lt;&gt;"","到貨","2次發包中"),IF(AE112&lt;&gt;"",IF(AO112&lt;&gt;"","到貨","發包中"),"")))))</f>
        <v/>
      </c>
      <c r="AW112" s="86">
        <f>IF(OR($AW$6=Y112),$AW$6,"")</f>
        <v/>
      </c>
      <c r="AX112" s="87">
        <f t="array" ref="AX112">IF(OR(AV112:AW112={"到貨","庫存"}),"完成","")</f>
        <v/>
      </c>
      <c r="AY112" s="92">
        <f>E112*$M$1</f>
        <v/>
      </c>
    </row>
    <row r="113" outlineLevel="1" ht="14.25" customHeight="1">
      <c r="A113" s="43" t="n">
        <v>108</v>
      </c>
      <c r="B113" s="526" t="n"/>
      <c r="C113" s="393" t="n"/>
      <c r="D113" s="427" t="n"/>
      <c r="E113" s="526" t="n"/>
      <c r="F113" s="526" t="n"/>
      <c r="G113" s="527" t="n"/>
      <c r="H113" s="393" t="n"/>
      <c r="I113" s="528" t="n"/>
      <c r="J113" s="528" t="n"/>
      <c r="K113" s="528" t="n"/>
      <c r="L113" s="529" t="n"/>
      <c r="M113" s="529" t="n"/>
      <c r="N113" s="530" t="n"/>
      <c r="O113" s="531" t="n"/>
      <c r="P113" s="527" t="n"/>
      <c r="Q113" s="528" t="n"/>
      <c r="R113" s="528" t="n"/>
      <c r="S113" s="528" t="n"/>
      <c r="T113" s="543" t="n"/>
      <c r="U113" s="534" t="n"/>
      <c r="V113" s="516" t="n"/>
      <c r="W113" s="535" t="n"/>
      <c r="X113" s="536" t="n"/>
      <c r="Y113" s="519" t="n"/>
      <c r="Z113" s="683" t="n"/>
      <c r="AA113" s="684" t="n"/>
      <c r="AB113" s="684" t="n"/>
      <c r="AC113" s="684" t="n"/>
      <c r="AD113" s="685" t="n"/>
      <c r="AE113" s="686" t="n"/>
      <c r="AF113" s="684" t="n"/>
      <c r="AG113" s="687" t="n"/>
      <c r="AH113" s="687" t="n"/>
      <c r="AI113" s="684" t="n"/>
      <c r="AJ113" s="686" t="n"/>
      <c r="AK113" s="687" t="n"/>
      <c r="AL113" s="687" t="n"/>
      <c r="AM113" s="687" t="n"/>
      <c r="AN113" s="688" t="n"/>
      <c r="AO113" s="686" t="n"/>
      <c r="AP113" s="689" t="n"/>
      <c r="AQ113" s="689" t="n"/>
      <c r="AR113" s="689" t="n"/>
      <c r="AS113" s="690" t="n"/>
      <c r="AT113" s="691">
        <f>IF(AJ113&lt;&gt;"",(IF(AV113="到貨","",(AJ113-TODAY()))),"")</f>
        <v/>
      </c>
      <c r="AU113" s="692">
        <f>IF(AO113&lt;&gt;"",(AO113-AE113),"")</f>
        <v/>
      </c>
      <c r="AV113" s="86">
        <f>IF(AI113&lt;&gt;"",IF(AS113&lt;&gt;"","到貨","5次發包中"),IF(AH113&lt;&gt;"",IF(AR113&lt;&gt;"","到貨","4次發包中"),IF(AG113&lt;&gt;"",IF(AQ113&lt;&gt;"","到貨","3次發包中"),IF(AF113&lt;&gt;"",IF(AP113&lt;&gt;"","到貨","2次發包中"),IF(AE113&lt;&gt;"",IF(AO113&lt;&gt;"","到貨","發包中"),"")))))</f>
        <v/>
      </c>
      <c r="AW113" s="86">
        <f>IF(OR($AW$6=Y113),$AW$6,"")</f>
        <v/>
      </c>
      <c r="AX113" s="87">
        <f t="array" ref="AX113">IF(OR(AV113:AW113={"到貨","庫存"}),"完成","")</f>
        <v/>
      </c>
      <c r="AY113" s="92">
        <f>E113*$M$1</f>
        <v/>
      </c>
    </row>
    <row r="114" outlineLevel="1" ht="14.25" customHeight="1">
      <c r="A114" s="43" t="n">
        <v>109</v>
      </c>
      <c r="B114" s="526" t="n"/>
      <c r="C114" s="393" t="n"/>
      <c r="D114" s="427" t="n"/>
      <c r="E114" s="526" t="n"/>
      <c r="F114" s="526" t="n"/>
      <c r="G114" s="527" t="n"/>
      <c r="H114" s="393" t="n"/>
      <c r="I114" s="528" t="n"/>
      <c r="J114" s="528" t="n"/>
      <c r="K114" s="528" t="n"/>
      <c r="L114" s="529" t="n"/>
      <c r="M114" s="529" t="n"/>
      <c r="N114" s="530" t="n"/>
      <c r="O114" s="531" t="n"/>
      <c r="P114" s="527" t="n"/>
      <c r="Q114" s="528" t="n"/>
      <c r="R114" s="528" t="n"/>
      <c r="S114" s="528" t="n"/>
      <c r="T114" s="543" t="n"/>
      <c r="U114" s="534" t="n"/>
      <c r="V114" s="516" t="n"/>
      <c r="W114" s="535" t="n"/>
      <c r="X114" s="536" t="n"/>
      <c r="Y114" s="519" t="n"/>
      <c r="Z114" s="683" t="n"/>
      <c r="AA114" s="684" t="n"/>
      <c r="AB114" s="684" t="n"/>
      <c r="AC114" s="684" t="n"/>
      <c r="AD114" s="685" t="n"/>
      <c r="AE114" s="686" t="n"/>
      <c r="AF114" s="684" t="n"/>
      <c r="AG114" s="687" t="n"/>
      <c r="AH114" s="687" t="n"/>
      <c r="AI114" s="684" t="n"/>
      <c r="AJ114" s="686" t="n"/>
      <c r="AK114" s="687" t="n"/>
      <c r="AL114" s="687" t="n"/>
      <c r="AM114" s="687" t="n"/>
      <c r="AN114" s="688" t="n"/>
      <c r="AO114" s="686" t="n"/>
      <c r="AP114" s="689" t="n"/>
      <c r="AQ114" s="689" t="n"/>
      <c r="AR114" s="689" t="n"/>
      <c r="AS114" s="690" t="n"/>
      <c r="AT114" s="691">
        <f>IF(AJ114&lt;&gt;"",(IF(AV114="到貨","",(AJ114-TODAY()))),"")</f>
        <v/>
      </c>
      <c r="AU114" s="692">
        <f>IF(AO114&lt;&gt;"",(AO114-AE114),"")</f>
        <v/>
      </c>
      <c r="AV114" s="86">
        <f>IF(AI114&lt;&gt;"",IF(AS114&lt;&gt;"","到貨","5次發包中"),IF(AH114&lt;&gt;"",IF(AR114&lt;&gt;"","到貨","4次發包中"),IF(AG114&lt;&gt;"",IF(AQ114&lt;&gt;"","到貨","3次發包中"),IF(AF114&lt;&gt;"",IF(AP114&lt;&gt;"","到貨","2次發包中"),IF(AE114&lt;&gt;"",IF(AO114&lt;&gt;"","到貨","發包中"),"")))))</f>
        <v/>
      </c>
      <c r="AW114" s="86">
        <f>IF(OR($AW$6=Y114),$AW$6,"")</f>
        <v/>
      </c>
      <c r="AX114" s="87">
        <f t="array" ref="AX114">IF(OR(AV114:AW114={"到貨","庫存"}),"完成","")</f>
        <v/>
      </c>
      <c r="AY114" s="92">
        <f>E114*$M$1</f>
        <v/>
      </c>
    </row>
    <row r="115" outlineLevel="1" ht="14.25" customHeight="1">
      <c r="A115" s="43" t="n">
        <v>110</v>
      </c>
      <c r="B115" s="526" t="n"/>
      <c r="C115" s="393" t="n"/>
      <c r="D115" s="427" t="n"/>
      <c r="E115" s="526" t="n"/>
      <c r="F115" s="526" t="n"/>
      <c r="G115" s="527" t="n"/>
      <c r="H115" s="393" t="n"/>
      <c r="I115" s="528" t="n"/>
      <c r="J115" s="528" t="n"/>
      <c r="K115" s="528" t="n"/>
      <c r="L115" s="529" t="n"/>
      <c r="M115" s="529" t="n"/>
      <c r="N115" s="530" t="n"/>
      <c r="O115" s="531" t="n"/>
      <c r="P115" s="527" t="n"/>
      <c r="Q115" s="528" t="n"/>
      <c r="R115" s="528" t="n"/>
      <c r="S115" s="528" t="n"/>
      <c r="T115" s="543" t="n"/>
      <c r="U115" s="534" t="n"/>
      <c r="V115" s="516" t="n"/>
      <c r="W115" s="535" t="n"/>
      <c r="X115" s="536" t="n"/>
      <c r="Y115" s="519" t="n"/>
      <c r="Z115" s="683" t="n"/>
      <c r="AA115" s="684" t="n"/>
      <c r="AB115" s="684" t="n"/>
      <c r="AC115" s="684" t="n"/>
      <c r="AD115" s="685" t="n"/>
      <c r="AE115" s="686" t="n"/>
      <c r="AF115" s="684" t="n"/>
      <c r="AG115" s="687" t="n"/>
      <c r="AH115" s="687" t="n"/>
      <c r="AI115" s="684" t="n"/>
      <c r="AJ115" s="686" t="n"/>
      <c r="AK115" s="687" t="n"/>
      <c r="AL115" s="687" t="n"/>
      <c r="AM115" s="687" t="n"/>
      <c r="AN115" s="688" t="n"/>
      <c r="AO115" s="686" t="n"/>
      <c r="AP115" s="689" t="n"/>
      <c r="AQ115" s="689" t="n"/>
      <c r="AR115" s="689" t="n"/>
      <c r="AS115" s="690" t="n"/>
      <c r="AT115" s="691">
        <f>IF(AJ115&lt;&gt;"",(IF(AV115="到貨","",(AJ115-TODAY()))),"")</f>
        <v/>
      </c>
      <c r="AU115" s="692">
        <f>IF(AO115&lt;&gt;"",(AO115-AE115),"")</f>
        <v/>
      </c>
      <c r="AV115" s="86">
        <f>IF(AI115&lt;&gt;"",IF(AS115&lt;&gt;"","到貨","5次發包中"),IF(AH115&lt;&gt;"",IF(AR115&lt;&gt;"","到貨","4次發包中"),IF(AG115&lt;&gt;"",IF(AQ115&lt;&gt;"","到貨","3次發包中"),IF(AF115&lt;&gt;"",IF(AP115&lt;&gt;"","到貨","2次發包中"),IF(AE115&lt;&gt;"",IF(AO115&lt;&gt;"","到貨","發包中"),"")))))</f>
        <v/>
      </c>
      <c r="AW115" s="86">
        <f>IF(OR($AW$6=Y115),$AW$6,"")</f>
        <v/>
      </c>
      <c r="AX115" s="87">
        <f t="array" ref="AX115">IF(OR(AV115:AW115={"到貨","庫存"}),"完成","")</f>
        <v/>
      </c>
      <c r="AY115" s="92">
        <f>E115*$M$1</f>
        <v/>
      </c>
    </row>
    <row r="116" outlineLevel="1" ht="14.25" customHeight="1">
      <c r="A116" s="43" t="n">
        <v>111</v>
      </c>
      <c r="B116" s="526" t="n"/>
      <c r="C116" s="393" t="n"/>
      <c r="D116" s="427" t="n"/>
      <c r="E116" s="526" t="n"/>
      <c r="F116" s="526" t="n"/>
      <c r="G116" s="527" t="n"/>
      <c r="H116" s="393" t="n"/>
      <c r="I116" s="528" t="n"/>
      <c r="J116" s="528" t="n"/>
      <c r="K116" s="528" t="n"/>
      <c r="L116" s="529" t="n"/>
      <c r="M116" s="529" t="n"/>
      <c r="N116" s="530" t="n"/>
      <c r="O116" s="531" t="n"/>
      <c r="P116" s="527" t="n"/>
      <c r="Q116" s="528" t="n"/>
      <c r="R116" s="528" t="n"/>
      <c r="S116" s="528" t="n"/>
      <c r="T116" s="543" t="n"/>
      <c r="U116" s="534" t="n"/>
      <c r="V116" s="516" t="n"/>
      <c r="W116" s="535" t="n"/>
      <c r="X116" s="536" t="n"/>
      <c r="Y116" s="519" t="n"/>
      <c r="Z116" s="683" t="n"/>
      <c r="AA116" s="684" t="n"/>
      <c r="AB116" s="684" t="n"/>
      <c r="AC116" s="684" t="n"/>
      <c r="AD116" s="685" t="n"/>
      <c r="AE116" s="686" t="n"/>
      <c r="AF116" s="684" t="n"/>
      <c r="AG116" s="687" t="n"/>
      <c r="AH116" s="687" t="n"/>
      <c r="AI116" s="684" t="n"/>
      <c r="AJ116" s="686" t="n"/>
      <c r="AK116" s="687" t="n"/>
      <c r="AL116" s="687" t="n"/>
      <c r="AM116" s="687" t="n"/>
      <c r="AN116" s="688" t="n"/>
      <c r="AO116" s="686" t="n"/>
      <c r="AP116" s="689" t="n"/>
      <c r="AQ116" s="689" t="n"/>
      <c r="AR116" s="689" t="n"/>
      <c r="AS116" s="690" t="n"/>
      <c r="AT116" s="691">
        <f>IF(AJ116&lt;&gt;"",(IF(AV116="到貨","",(AJ116-TODAY()))),"")</f>
        <v/>
      </c>
      <c r="AU116" s="692">
        <f>IF(AO116&lt;&gt;"",(AO116-AE116),"")</f>
        <v/>
      </c>
      <c r="AV116" s="86">
        <f>IF(AI116&lt;&gt;"",IF(AS116&lt;&gt;"","到貨","5次發包中"),IF(AH116&lt;&gt;"",IF(AR116&lt;&gt;"","到貨","4次發包中"),IF(AG116&lt;&gt;"",IF(AQ116&lt;&gt;"","到貨","3次發包中"),IF(AF116&lt;&gt;"",IF(AP116&lt;&gt;"","到貨","2次發包中"),IF(AE116&lt;&gt;"",IF(AO116&lt;&gt;"","到貨","發包中"),"")))))</f>
        <v/>
      </c>
      <c r="AW116" s="86">
        <f>IF(OR($AW$6=Y116),$AW$6,"")</f>
        <v/>
      </c>
      <c r="AX116" s="87">
        <f t="array" ref="AX116">IF(OR(AV116:AW116={"到貨","庫存"}),"完成","")</f>
        <v/>
      </c>
      <c r="AY116" s="92">
        <f>E116*$M$1</f>
        <v/>
      </c>
    </row>
    <row r="117" outlineLevel="1" ht="14.25" customHeight="1">
      <c r="A117" s="43" t="n">
        <v>112</v>
      </c>
      <c r="B117" s="526" t="n"/>
      <c r="C117" s="393" t="n"/>
      <c r="D117" s="427" t="n"/>
      <c r="E117" s="526" t="n"/>
      <c r="F117" s="526" t="n"/>
      <c r="G117" s="527" t="n"/>
      <c r="H117" s="393" t="n"/>
      <c r="I117" s="528" t="n"/>
      <c r="J117" s="528" t="n"/>
      <c r="K117" s="528" t="n"/>
      <c r="L117" s="529" t="n"/>
      <c r="M117" s="529" t="n"/>
      <c r="N117" s="530" t="n"/>
      <c r="O117" s="531" t="n"/>
      <c r="P117" s="527" t="n"/>
      <c r="Q117" s="528" t="n"/>
      <c r="R117" s="528" t="n"/>
      <c r="S117" s="528" t="n"/>
      <c r="T117" s="543" t="n"/>
      <c r="U117" s="534" t="n"/>
      <c r="V117" s="516" t="n"/>
      <c r="W117" s="535" t="n"/>
      <c r="X117" s="536" t="n"/>
      <c r="Y117" s="519" t="n"/>
      <c r="Z117" s="683" t="n"/>
      <c r="AA117" s="684" t="n"/>
      <c r="AB117" s="684" t="n"/>
      <c r="AC117" s="684" t="n"/>
      <c r="AD117" s="685" t="n"/>
      <c r="AE117" s="686" t="n"/>
      <c r="AF117" s="684" t="n"/>
      <c r="AG117" s="687" t="n"/>
      <c r="AH117" s="687" t="n"/>
      <c r="AI117" s="684" t="n"/>
      <c r="AJ117" s="686" t="n"/>
      <c r="AK117" s="687" t="n"/>
      <c r="AL117" s="687" t="n"/>
      <c r="AM117" s="687" t="n"/>
      <c r="AN117" s="688" t="n"/>
      <c r="AO117" s="686" t="n"/>
      <c r="AP117" s="689" t="n"/>
      <c r="AQ117" s="689" t="n"/>
      <c r="AR117" s="689" t="n"/>
      <c r="AS117" s="690" t="n"/>
      <c r="AT117" s="691">
        <f>IF(AJ117&lt;&gt;"",(IF(AV117="到貨","",(AJ117-TODAY()))),"")</f>
        <v/>
      </c>
      <c r="AU117" s="692">
        <f>IF(AO117&lt;&gt;"",(AO117-AE117),"")</f>
        <v/>
      </c>
      <c r="AV117" s="86">
        <f>IF(AI117&lt;&gt;"",IF(AS117&lt;&gt;"","到貨","5次發包中"),IF(AH117&lt;&gt;"",IF(AR117&lt;&gt;"","到貨","4次發包中"),IF(AG117&lt;&gt;"",IF(AQ117&lt;&gt;"","到貨","3次發包中"),IF(AF117&lt;&gt;"",IF(AP117&lt;&gt;"","到貨","2次發包中"),IF(AE117&lt;&gt;"",IF(AO117&lt;&gt;"","到貨","發包中"),"")))))</f>
        <v/>
      </c>
      <c r="AW117" s="86">
        <f>IF(OR($AW$6=Y117),$AW$6,"")</f>
        <v/>
      </c>
      <c r="AX117" s="87">
        <f t="array" ref="AX117">IF(OR(AV117:AW117={"到貨","庫存"}),"完成","")</f>
        <v/>
      </c>
      <c r="AY117" s="92">
        <f>E117*$M$1</f>
        <v/>
      </c>
    </row>
    <row r="118" outlineLevel="1" ht="14.25" customHeight="1">
      <c r="A118" s="43" t="n">
        <v>113</v>
      </c>
      <c r="B118" s="526" t="n"/>
      <c r="C118" s="393" t="n"/>
      <c r="D118" s="427" t="n"/>
      <c r="E118" s="526" t="n"/>
      <c r="F118" s="526" t="n"/>
      <c r="G118" s="527" t="n"/>
      <c r="H118" s="393" t="n"/>
      <c r="I118" s="528" t="n"/>
      <c r="J118" s="528" t="n"/>
      <c r="K118" s="528" t="n"/>
      <c r="L118" s="529" t="n"/>
      <c r="M118" s="529" t="n"/>
      <c r="N118" s="530" t="n"/>
      <c r="O118" s="531" t="n"/>
      <c r="P118" s="527" t="n"/>
      <c r="Q118" s="528" t="n"/>
      <c r="R118" s="528" t="n"/>
      <c r="S118" s="528" t="n"/>
      <c r="T118" s="543" t="n"/>
      <c r="U118" s="534" t="n"/>
      <c r="V118" s="516" t="n"/>
      <c r="W118" s="535" t="n"/>
      <c r="X118" s="536" t="n"/>
      <c r="Y118" s="519" t="n"/>
      <c r="Z118" s="683" t="n"/>
      <c r="AA118" s="684" t="n"/>
      <c r="AB118" s="684" t="n"/>
      <c r="AC118" s="684" t="n"/>
      <c r="AD118" s="685" t="n"/>
      <c r="AE118" s="686" t="n"/>
      <c r="AF118" s="684" t="n"/>
      <c r="AG118" s="687" t="n"/>
      <c r="AH118" s="687" t="n"/>
      <c r="AI118" s="684" t="n"/>
      <c r="AJ118" s="686" t="n"/>
      <c r="AK118" s="687" t="n"/>
      <c r="AL118" s="687" t="n"/>
      <c r="AM118" s="687" t="n"/>
      <c r="AN118" s="688" t="n"/>
      <c r="AO118" s="686" t="n"/>
      <c r="AP118" s="689" t="n"/>
      <c r="AQ118" s="689" t="n"/>
      <c r="AR118" s="689" t="n"/>
      <c r="AS118" s="690" t="n"/>
      <c r="AT118" s="691">
        <f>IF(AJ118&lt;&gt;"",(IF(AV118="到貨","",(AJ118-TODAY()))),"")</f>
        <v/>
      </c>
      <c r="AU118" s="692">
        <f>IF(AO118&lt;&gt;"",(AO118-AE118),"")</f>
        <v/>
      </c>
      <c r="AV118" s="86">
        <f>IF(AI118&lt;&gt;"",IF(AS118&lt;&gt;"","到貨","5次發包中"),IF(AH118&lt;&gt;"",IF(AR118&lt;&gt;"","到貨","4次發包中"),IF(AG118&lt;&gt;"",IF(AQ118&lt;&gt;"","到貨","3次發包中"),IF(AF118&lt;&gt;"",IF(AP118&lt;&gt;"","到貨","2次發包中"),IF(AE118&lt;&gt;"",IF(AO118&lt;&gt;"","到貨","發包中"),"")))))</f>
        <v/>
      </c>
      <c r="AW118" s="86">
        <f>IF(OR($AW$6=Y118),$AW$6,"")</f>
        <v/>
      </c>
      <c r="AX118" s="87">
        <f t="array" ref="AX118">IF(OR(AV118:AW118={"到貨","庫存"}),"完成","")</f>
        <v/>
      </c>
      <c r="AY118" s="92">
        <f>E118*$M$1</f>
        <v/>
      </c>
    </row>
    <row r="119" outlineLevel="1" ht="14.25" customHeight="1">
      <c r="A119" s="43" t="n">
        <v>114</v>
      </c>
      <c r="B119" s="526" t="n"/>
      <c r="C119" s="393" t="n"/>
      <c r="D119" s="427" t="n"/>
      <c r="E119" s="526" t="n"/>
      <c r="F119" s="526" t="n"/>
      <c r="G119" s="527" t="n"/>
      <c r="H119" s="393" t="n"/>
      <c r="I119" s="528" t="n"/>
      <c r="J119" s="528" t="n"/>
      <c r="K119" s="528" t="n"/>
      <c r="L119" s="529" t="n"/>
      <c r="M119" s="529" t="n"/>
      <c r="N119" s="530" t="n"/>
      <c r="O119" s="531" t="n"/>
      <c r="P119" s="527" t="n"/>
      <c r="Q119" s="528" t="n"/>
      <c r="R119" s="528" t="n"/>
      <c r="S119" s="528" t="n"/>
      <c r="T119" s="543" t="n"/>
      <c r="U119" s="534" t="n"/>
      <c r="V119" s="516" t="n"/>
      <c r="W119" s="535" t="n"/>
      <c r="X119" s="536" t="n"/>
      <c r="Y119" s="519" t="n"/>
      <c r="Z119" s="683" t="n"/>
      <c r="AA119" s="684" t="n"/>
      <c r="AB119" s="684" t="n"/>
      <c r="AC119" s="684" t="n"/>
      <c r="AD119" s="685" t="n"/>
      <c r="AE119" s="686" t="n"/>
      <c r="AF119" s="684" t="n"/>
      <c r="AG119" s="687" t="n"/>
      <c r="AH119" s="687" t="n"/>
      <c r="AI119" s="684" t="n"/>
      <c r="AJ119" s="686" t="n"/>
      <c r="AK119" s="687" t="n"/>
      <c r="AL119" s="687" t="n"/>
      <c r="AM119" s="687" t="n"/>
      <c r="AN119" s="688" t="n"/>
      <c r="AO119" s="686" t="n"/>
      <c r="AP119" s="689" t="n"/>
      <c r="AQ119" s="689" t="n"/>
      <c r="AR119" s="689" t="n"/>
      <c r="AS119" s="690" t="n"/>
      <c r="AT119" s="691">
        <f>IF(AJ119&lt;&gt;"",(IF(AV119="到貨","",(AJ119-TODAY()))),"")</f>
        <v/>
      </c>
      <c r="AU119" s="692">
        <f>IF(AO119&lt;&gt;"",(AO119-AE119),"")</f>
        <v/>
      </c>
      <c r="AV119" s="86">
        <f>IF(AI119&lt;&gt;"",IF(AS119&lt;&gt;"","到貨","5次發包中"),IF(AH119&lt;&gt;"",IF(AR119&lt;&gt;"","到貨","4次發包中"),IF(AG119&lt;&gt;"",IF(AQ119&lt;&gt;"","到貨","3次發包中"),IF(AF119&lt;&gt;"",IF(AP119&lt;&gt;"","到貨","2次發包中"),IF(AE119&lt;&gt;"",IF(AO119&lt;&gt;"","到貨","發包中"),"")))))</f>
        <v/>
      </c>
      <c r="AW119" s="86">
        <f>IF(OR($AW$6=Y119),$AW$6,"")</f>
        <v/>
      </c>
      <c r="AX119" s="87">
        <f t="array" ref="AX119">IF(OR(AV119:AW119={"到貨","庫存"}),"完成","")</f>
        <v/>
      </c>
      <c r="AY119" s="92">
        <f>E119*$M$1</f>
        <v/>
      </c>
    </row>
    <row r="120" outlineLevel="1" ht="14.25" customHeight="1">
      <c r="A120" s="43" t="n">
        <v>115</v>
      </c>
      <c r="B120" s="526" t="n"/>
      <c r="C120" s="393" t="n"/>
      <c r="D120" s="427" t="n"/>
      <c r="E120" s="526" t="n"/>
      <c r="F120" s="526" t="n"/>
      <c r="G120" s="527" t="n"/>
      <c r="H120" s="393" t="n"/>
      <c r="I120" s="528" t="n"/>
      <c r="J120" s="528" t="n"/>
      <c r="K120" s="528" t="n"/>
      <c r="L120" s="529" t="n"/>
      <c r="M120" s="529" t="n"/>
      <c r="N120" s="530" t="n"/>
      <c r="O120" s="531" t="n"/>
      <c r="P120" s="527" t="n"/>
      <c r="Q120" s="528" t="n"/>
      <c r="R120" s="528" t="n"/>
      <c r="S120" s="528" t="n"/>
      <c r="T120" s="543" t="n"/>
      <c r="U120" s="534" t="n"/>
      <c r="V120" s="516" t="n"/>
      <c r="W120" s="535" t="n"/>
      <c r="X120" s="536" t="n"/>
      <c r="Y120" s="519" t="n"/>
      <c r="Z120" s="683" t="n"/>
      <c r="AA120" s="684" t="n"/>
      <c r="AB120" s="684" t="n"/>
      <c r="AC120" s="684" t="n"/>
      <c r="AD120" s="685" t="n"/>
      <c r="AE120" s="686" t="n"/>
      <c r="AF120" s="684" t="n"/>
      <c r="AG120" s="687" t="n"/>
      <c r="AH120" s="687" t="n"/>
      <c r="AI120" s="684" t="n"/>
      <c r="AJ120" s="686" t="n"/>
      <c r="AK120" s="687" t="n"/>
      <c r="AL120" s="687" t="n"/>
      <c r="AM120" s="687" t="n"/>
      <c r="AN120" s="688" t="n"/>
      <c r="AO120" s="686" t="n"/>
      <c r="AP120" s="689" t="n"/>
      <c r="AQ120" s="689" t="n"/>
      <c r="AR120" s="689" t="n"/>
      <c r="AS120" s="690" t="n"/>
      <c r="AT120" s="691">
        <f>IF(AJ120&lt;&gt;"",(IF(AV120="到貨","",(AJ120-TODAY()))),"")</f>
        <v/>
      </c>
      <c r="AU120" s="692">
        <f>IF(AO120&lt;&gt;"",(AO120-AE120),"")</f>
        <v/>
      </c>
      <c r="AV120" s="86">
        <f>IF(AI120&lt;&gt;"",IF(AS120&lt;&gt;"","到貨","5次發包中"),IF(AH120&lt;&gt;"",IF(AR120&lt;&gt;"","到貨","4次發包中"),IF(AG120&lt;&gt;"",IF(AQ120&lt;&gt;"","到貨","3次發包中"),IF(AF120&lt;&gt;"",IF(AP120&lt;&gt;"","到貨","2次發包中"),IF(AE120&lt;&gt;"",IF(AO120&lt;&gt;"","到貨","發包中"),"")))))</f>
        <v/>
      </c>
      <c r="AW120" s="86">
        <f>IF(OR($AW$6=Y120),$AW$6,"")</f>
        <v/>
      </c>
      <c r="AX120" s="87">
        <f t="array" ref="AX120">IF(OR(AV120:AW120={"到貨","庫存"}),"完成","")</f>
        <v/>
      </c>
      <c r="AY120" s="92">
        <f>E120*$M$1</f>
        <v/>
      </c>
    </row>
    <row r="121" outlineLevel="1" ht="14.25" customHeight="1">
      <c r="A121" s="43" t="n">
        <v>116</v>
      </c>
      <c r="B121" s="526" t="n"/>
      <c r="C121" s="393" t="n"/>
      <c r="D121" s="427" t="n"/>
      <c r="E121" s="526" t="n"/>
      <c r="F121" s="526" t="n"/>
      <c r="G121" s="527" t="n"/>
      <c r="H121" s="393" t="n"/>
      <c r="I121" s="528" t="n"/>
      <c r="J121" s="528" t="n"/>
      <c r="K121" s="528" t="n"/>
      <c r="L121" s="529" t="n"/>
      <c r="M121" s="529" t="n"/>
      <c r="N121" s="530" t="n"/>
      <c r="O121" s="531" t="n"/>
      <c r="P121" s="527" t="n"/>
      <c r="Q121" s="528" t="n"/>
      <c r="R121" s="528" t="n"/>
      <c r="S121" s="528" t="n"/>
      <c r="T121" s="543" t="n"/>
      <c r="U121" s="534" t="n"/>
      <c r="V121" s="516" t="n"/>
      <c r="W121" s="535" t="n"/>
      <c r="X121" s="536" t="n"/>
      <c r="Y121" s="519" t="n"/>
      <c r="Z121" s="683" t="n"/>
      <c r="AA121" s="684" t="n"/>
      <c r="AB121" s="684" t="n"/>
      <c r="AC121" s="684" t="n"/>
      <c r="AD121" s="685" t="n"/>
      <c r="AE121" s="686" t="n"/>
      <c r="AF121" s="684" t="n"/>
      <c r="AG121" s="687" t="n"/>
      <c r="AH121" s="687" t="n"/>
      <c r="AI121" s="684" t="n"/>
      <c r="AJ121" s="686" t="n"/>
      <c r="AK121" s="687" t="n"/>
      <c r="AL121" s="687" t="n"/>
      <c r="AM121" s="687" t="n"/>
      <c r="AN121" s="688" t="n"/>
      <c r="AO121" s="686" t="n"/>
      <c r="AP121" s="689" t="n"/>
      <c r="AQ121" s="689" t="n"/>
      <c r="AR121" s="689" t="n"/>
      <c r="AS121" s="690" t="n"/>
      <c r="AT121" s="691">
        <f>IF(AJ121&lt;&gt;"",(IF(AV121="到貨","",(AJ121-TODAY()))),"")</f>
        <v/>
      </c>
      <c r="AU121" s="692">
        <f>IF(AO121&lt;&gt;"",(AO121-AE121),"")</f>
        <v/>
      </c>
      <c r="AV121" s="86">
        <f>IF(AI121&lt;&gt;"",IF(AS121&lt;&gt;"","到貨","5次發包中"),IF(AH121&lt;&gt;"",IF(AR121&lt;&gt;"","到貨","4次發包中"),IF(AG121&lt;&gt;"",IF(AQ121&lt;&gt;"","到貨","3次發包中"),IF(AF121&lt;&gt;"",IF(AP121&lt;&gt;"","到貨","2次發包中"),IF(AE121&lt;&gt;"",IF(AO121&lt;&gt;"","到貨","發包中"),"")))))</f>
        <v/>
      </c>
      <c r="AW121" s="86">
        <f>IF(OR($AW$6=Y121),$AW$6,"")</f>
        <v/>
      </c>
      <c r="AX121" s="87">
        <f t="array" ref="AX121">IF(OR(AV121:AW121={"到貨","庫存"}),"完成","")</f>
        <v/>
      </c>
      <c r="AY121" s="92">
        <f>E121*$M$1</f>
        <v/>
      </c>
    </row>
    <row r="122" outlineLevel="1" ht="14.25" customHeight="1">
      <c r="A122" s="43" t="n">
        <v>117</v>
      </c>
      <c r="B122" s="526" t="n"/>
      <c r="C122" s="393" t="n"/>
      <c r="D122" s="427" t="n"/>
      <c r="E122" s="526" t="n"/>
      <c r="F122" s="526" t="n"/>
      <c r="G122" s="527" t="n"/>
      <c r="H122" s="393" t="n"/>
      <c r="I122" s="528" t="n"/>
      <c r="J122" s="528" t="n"/>
      <c r="K122" s="528" t="n"/>
      <c r="L122" s="529" t="n"/>
      <c r="M122" s="529" t="n"/>
      <c r="N122" s="530" t="n"/>
      <c r="O122" s="531" t="n"/>
      <c r="P122" s="527" t="n"/>
      <c r="Q122" s="528" t="n"/>
      <c r="R122" s="528" t="n"/>
      <c r="S122" s="528" t="n"/>
      <c r="T122" s="543" t="n"/>
      <c r="U122" s="534" t="n"/>
      <c r="V122" s="516" t="n"/>
      <c r="W122" s="535" t="n"/>
      <c r="X122" s="536" t="n"/>
      <c r="Y122" s="519" t="n"/>
      <c r="Z122" s="683" t="n"/>
      <c r="AA122" s="684" t="n"/>
      <c r="AB122" s="684" t="n"/>
      <c r="AC122" s="684" t="n"/>
      <c r="AD122" s="685" t="n"/>
      <c r="AE122" s="686" t="n"/>
      <c r="AF122" s="684" t="n"/>
      <c r="AG122" s="687" t="n"/>
      <c r="AH122" s="687" t="n"/>
      <c r="AI122" s="684" t="n"/>
      <c r="AJ122" s="686" t="n"/>
      <c r="AK122" s="687" t="n"/>
      <c r="AL122" s="687" t="n"/>
      <c r="AM122" s="687" t="n"/>
      <c r="AN122" s="688" t="n"/>
      <c r="AO122" s="686" t="n"/>
      <c r="AP122" s="689" t="n"/>
      <c r="AQ122" s="689" t="n"/>
      <c r="AR122" s="689" t="n"/>
      <c r="AS122" s="690" t="n"/>
      <c r="AT122" s="691">
        <f>IF(AJ122&lt;&gt;"",(IF(AV122="到貨","",(AJ122-TODAY()))),"")</f>
        <v/>
      </c>
      <c r="AU122" s="692">
        <f>IF(AO122&lt;&gt;"",(AO122-AE122),"")</f>
        <v/>
      </c>
      <c r="AV122" s="86">
        <f>IF(AI122&lt;&gt;"",IF(AS122&lt;&gt;"","到貨","5次發包中"),IF(AH122&lt;&gt;"",IF(AR122&lt;&gt;"","到貨","4次發包中"),IF(AG122&lt;&gt;"",IF(AQ122&lt;&gt;"","到貨","3次發包中"),IF(AF122&lt;&gt;"",IF(AP122&lt;&gt;"","到貨","2次發包中"),IF(AE122&lt;&gt;"",IF(AO122&lt;&gt;"","到貨","發包中"),"")))))</f>
        <v/>
      </c>
      <c r="AW122" s="86">
        <f>IF(OR($AW$6=Y122),$AW$6,"")</f>
        <v/>
      </c>
      <c r="AX122" s="87">
        <f t="array" ref="AX122">IF(OR(AV122:AW122={"到貨","庫存"}),"完成","")</f>
        <v/>
      </c>
      <c r="AY122" s="92">
        <f>E122*$M$1</f>
        <v/>
      </c>
    </row>
    <row r="123" outlineLevel="1" ht="14.25" customHeight="1">
      <c r="A123" s="43" t="n">
        <v>118</v>
      </c>
      <c r="B123" s="526" t="n"/>
      <c r="C123" s="393" t="n"/>
      <c r="D123" s="427" t="n"/>
      <c r="E123" s="526" t="n"/>
      <c r="F123" s="526" t="n"/>
      <c r="G123" s="527" t="n"/>
      <c r="H123" s="393" t="n"/>
      <c r="I123" s="528" t="n"/>
      <c r="J123" s="528" t="n"/>
      <c r="K123" s="528" t="n"/>
      <c r="L123" s="529" t="n"/>
      <c r="M123" s="529" t="n"/>
      <c r="N123" s="530" t="n"/>
      <c r="O123" s="531" t="n"/>
      <c r="P123" s="527" t="n"/>
      <c r="Q123" s="528" t="n"/>
      <c r="R123" s="528" t="n"/>
      <c r="S123" s="528" t="n"/>
      <c r="T123" s="543" t="n"/>
      <c r="U123" s="534" t="n"/>
      <c r="V123" s="516" t="n"/>
      <c r="W123" s="535" t="n"/>
      <c r="X123" s="536" t="n"/>
      <c r="Y123" s="519" t="n"/>
      <c r="Z123" s="683" t="n"/>
      <c r="AA123" s="684" t="n"/>
      <c r="AB123" s="684" t="n"/>
      <c r="AC123" s="684" t="n"/>
      <c r="AD123" s="685" t="n"/>
      <c r="AE123" s="686" t="n"/>
      <c r="AF123" s="684" t="n"/>
      <c r="AG123" s="687" t="n"/>
      <c r="AH123" s="687" t="n"/>
      <c r="AI123" s="684" t="n"/>
      <c r="AJ123" s="686" t="n"/>
      <c r="AK123" s="687" t="n"/>
      <c r="AL123" s="687" t="n"/>
      <c r="AM123" s="687" t="n"/>
      <c r="AN123" s="688" t="n"/>
      <c r="AO123" s="686" t="n"/>
      <c r="AP123" s="689" t="n"/>
      <c r="AQ123" s="689" t="n"/>
      <c r="AR123" s="689" t="n"/>
      <c r="AS123" s="690" t="n"/>
      <c r="AT123" s="691">
        <f>IF(AJ123&lt;&gt;"",(IF(AV123="到貨","",(AJ123-TODAY()))),"")</f>
        <v/>
      </c>
      <c r="AU123" s="692">
        <f>IF(AO123&lt;&gt;"",(AO123-AE123),"")</f>
        <v/>
      </c>
      <c r="AV123" s="86">
        <f>IF(AI123&lt;&gt;"",IF(AS123&lt;&gt;"","到貨","5次發包中"),IF(AH123&lt;&gt;"",IF(AR123&lt;&gt;"","到貨","4次發包中"),IF(AG123&lt;&gt;"",IF(AQ123&lt;&gt;"","到貨","3次發包中"),IF(AF123&lt;&gt;"",IF(AP123&lt;&gt;"","到貨","2次發包中"),IF(AE123&lt;&gt;"",IF(AO123&lt;&gt;"","到貨","發包中"),"")))))</f>
        <v/>
      </c>
      <c r="AW123" s="86">
        <f>IF(OR($AW$6=Y123),$AW$6,"")</f>
        <v/>
      </c>
      <c r="AX123" s="87">
        <f t="array" ref="AX123">IF(OR(AV123:AW123={"到貨","庫存"}),"完成","")</f>
        <v/>
      </c>
      <c r="AY123" s="92">
        <f>E123*$M$1</f>
        <v/>
      </c>
    </row>
    <row r="124" outlineLevel="1" ht="14.25" customHeight="1">
      <c r="A124" s="43" t="n">
        <v>119</v>
      </c>
      <c r="B124" s="526" t="n"/>
      <c r="C124" s="393" t="n"/>
      <c r="D124" s="427" t="n"/>
      <c r="E124" s="526" t="n"/>
      <c r="F124" s="526" t="n"/>
      <c r="G124" s="527" t="n"/>
      <c r="H124" s="393" t="n"/>
      <c r="I124" s="528" t="n"/>
      <c r="J124" s="528" t="n"/>
      <c r="K124" s="528" t="n"/>
      <c r="L124" s="529" t="n"/>
      <c r="M124" s="529" t="n"/>
      <c r="N124" s="530" t="n"/>
      <c r="O124" s="531" t="n"/>
      <c r="P124" s="527" t="n"/>
      <c r="Q124" s="528" t="n"/>
      <c r="R124" s="528" t="n"/>
      <c r="S124" s="528" t="n"/>
      <c r="T124" s="543" t="n"/>
      <c r="U124" s="534" t="n"/>
      <c r="V124" s="516" t="n"/>
      <c r="W124" s="535" t="n"/>
      <c r="X124" s="536" t="n"/>
      <c r="Y124" s="519" t="n"/>
      <c r="Z124" s="683" t="n"/>
      <c r="AA124" s="684" t="n"/>
      <c r="AB124" s="684" t="n"/>
      <c r="AC124" s="684" t="n"/>
      <c r="AD124" s="685" t="n"/>
      <c r="AE124" s="686" t="n"/>
      <c r="AF124" s="684" t="n"/>
      <c r="AG124" s="687" t="n"/>
      <c r="AH124" s="687" t="n"/>
      <c r="AI124" s="684" t="n"/>
      <c r="AJ124" s="686" t="n"/>
      <c r="AK124" s="687" t="n"/>
      <c r="AL124" s="687" t="n"/>
      <c r="AM124" s="687" t="n"/>
      <c r="AN124" s="688" t="n"/>
      <c r="AO124" s="686" t="n"/>
      <c r="AP124" s="689" t="n"/>
      <c r="AQ124" s="689" t="n"/>
      <c r="AR124" s="689" t="n"/>
      <c r="AS124" s="690" t="n"/>
      <c r="AT124" s="691">
        <f>IF(AJ124&lt;&gt;"",(IF(AV124="到貨","",(AJ124-TODAY()))),"")</f>
        <v/>
      </c>
      <c r="AU124" s="692">
        <f>IF(AO124&lt;&gt;"",(AO124-AE124),"")</f>
        <v/>
      </c>
      <c r="AV124" s="86">
        <f>IF(AI124&lt;&gt;"",IF(AS124&lt;&gt;"","到貨","5次發包中"),IF(AH124&lt;&gt;"",IF(AR124&lt;&gt;"","到貨","4次發包中"),IF(AG124&lt;&gt;"",IF(AQ124&lt;&gt;"","到貨","3次發包中"),IF(AF124&lt;&gt;"",IF(AP124&lt;&gt;"","到貨","2次發包中"),IF(AE124&lt;&gt;"",IF(AO124&lt;&gt;"","到貨","發包中"),"")))))</f>
        <v/>
      </c>
      <c r="AW124" s="86">
        <f>IF(OR($AW$6=Y124),$AW$6,"")</f>
        <v/>
      </c>
      <c r="AX124" s="87">
        <f t="array" ref="AX124">IF(OR(AV124:AW124={"到貨","庫存"}),"完成","")</f>
        <v/>
      </c>
      <c r="AY124" s="92">
        <f>E124*$M$1</f>
        <v/>
      </c>
    </row>
    <row r="125" outlineLevel="1" ht="14.25" customHeight="1">
      <c r="A125" s="43" t="n">
        <v>120</v>
      </c>
      <c r="B125" s="526" t="n"/>
      <c r="C125" s="393" t="n"/>
      <c r="D125" s="427" t="n"/>
      <c r="E125" s="526" t="n"/>
      <c r="F125" s="526" t="n"/>
      <c r="G125" s="527" t="n"/>
      <c r="H125" s="393" t="n"/>
      <c r="I125" s="528" t="n"/>
      <c r="J125" s="528" t="n"/>
      <c r="K125" s="528" t="n"/>
      <c r="L125" s="529" t="n"/>
      <c r="M125" s="529" t="n"/>
      <c r="N125" s="530" t="n"/>
      <c r="O125" s="531" t="n"/>
      <c r="P125" s="527" t="n"/>
      <c r="Q125" s="528" t="n"/>
      <c r="R125" s="528" t="n"/>
      <c r="S125" s="528" t="n"/>
      <c r="T125" s="543" t="n"/>
      <c r="U125" s="534" t="n"/>
      <c r="V125" s="516" t="n"/>
      <c r="W125" s="535" t="n"/>
      <c r="X125" s="536" t="n"/>
      <c r="Y125" s="519" t="n"/>
      <c r="Z125" s="683" t="n"/>
      <c r="AA125" s="684" t="n"/>
      <c r="AB125" s="684" t="n"/>
      <c r="AC125" s="684" t="n"/>
      <c r="AD125" s="685" t="n"/>
      <c r="AE125" s="686" t="n"/>
      <c r="AF125" s="684" t="n"/>
      <c r="AG125" s="687" t="n"/>
      <c r="AH125" s="687" t="n"/>
      <c r="AI125" s="684" t="n"/>
      <c r="AJ125" s="686" t="n"/>
      <c r="AK125" s="687" t="n"/>
      <c r="AL125" s="687" t="n"/>
      <c r="AM125" s="687" t="n"/>
      <c r="AN125" s="688" t="n"/>
      <c r="AO125" s="686" t="n"/>
      <c r="AP125" s="689" t="n"/>
      <c r="AQ125" s="689" t="n"/>
      <c r="AR125" s="689" t="n"/>
      <c r="AS125" s="690" t="n"/>
      <c r="AT125" s="691">
        <f>IF(AJ125&lt;&gt;"",(IF(AV125="到貨","",(AJ125-TODAY()))),"")</f>
        <v/>
      </c>
      <c r="AU125" s="692">
        <f>IF(AO125&lt;&gt;"",(AO125-AE125),"")</f>
        <v/>
      </c>
      <c r="AV125" s="86">
        <f>IF(AI125&lt;&gt;"",IF(AS125&lt;&gt;"","到貨","5次發包中"),IF(AH125&lt;&gt;"",IF(AR125&lt;&gt;"","到貨","4次發包中"),IF(AG125&lt;&gt;"",IF(AQ125&lt;&gt;"","到貨","3次發包中"),IF(AF125&lt;&gt;"",IF(AP125&lt;&gt;"","到貨","2次發包中"),IF(AE125&lt;&gt;"",IF(AO125&lt;&gt;"","到貨","發包中"),"")))))</f>
        <v/>
      </c>
      <c r="AW125" s="86">
        <f>IF(OR($AW$6=Y125),$AW$6,"")</f>
        <v/>
      </c>
      <c r="AX125" s="87">
        <f t="array" ref="AX125">IF(OR(AV125:AW125={"到貨","庫存"}),"完成","")</f>
        <v/>
      </c>
      <c r="AY125" s="92">
        <f>E125*$M$1</f>
        <v/>
      </c>
    </row>
    <row r="126" outlineLevel="1" ht="14.25" customHeight="1">
      <c r="A126" s="43" t="n">
        <v>121</v>
      </c>
      <c r="B126" s="526" t="n"/>
      <c r="C126" s="393" t="n"/>
      <c r="D126" s="427" t="n"/>
      <c r="E126" s="526" t="n"/>
      <c r="F126" s="526" t="n"/>
      <c r="G126" s="527" t="n"/>
      <c r="H126" s="393" t="n"/>
      <c r="I126" s="528" t="n"/>
      <c r="J126" s="528" t="n"/>
      <c r="K126" s="528" t="n"/>
      <c r="L126" s="529" t="n"/>
      <c r="M126" s="529" t="n"/>
      <c r="N126" s="530" t="n"/>
      <c r="O126" s="531" t="n"/>
      <c r="P126" s="527" t="n"/>
      <c r="Q126" s="528" t="n"/>
      <c r="R126" s="528" t="n"/>
      <c r="S126" s="528" t="n"/>
      <c r="T126" s="543" t="n"/>
      <c r="U126" s="534" t="n"/>
      <c r="V126" s="516" t="n"/>
      <c r="W126" s="535" t="n"/>
      <c r="X126" s="536" t="n"/>
      <c r="Y126" s="519" t="n"/>
      <c r="Z126" s="683" t="n"/>
      <c r="AA126" s="684" t="n"/>
      <c r="AB126" s="684" t="n"/>
      <c r="AC126" s="684" t="n"/>
      <c r="AD126" s="685" t="n"/>
      <c r="AE126" s="686" t="n"/>
      <c r="AF126" s="684" t="n"/>
      <c r="AG126" s="687" t="n"/>
      <c r="AH126" s="687" t="n"/>
      <c r="AI126" s="684" t="n"/>
      <c r="AJ126" s="686" t="n"/>
      <c r="AK126" s="687" t="n"/>
      <c r="AL126" s="687" t="n"/>
      <c r="AM126" s="687" t="n"/>
      <c r="AN126" s="688" t="n"/>
      <c r="AO126" s="686" t="n"/>
      <c r="AP126" s="689" t="n"/>
      <c r="AQ126" s="689" t="n"/>
      <c r="AR126" s="689" t="n"/>
      <c r="AS126" s="690" t="n"/>
      <c r="AT126" s="691">
        <f>IF(AJ126&lt;&gt;"",(IF(AV126="到貨","",(AJ126-TODAY()))),"")</f>
        <v/>
      </c>
      <c r="AU126" s="692">
        <f>IF(AO126&lt;&gt;"",(AO126-AE126),"")</f>
        <v/>
      </c>
      <c r="AV126" s="86">
        <f>IF(AI126&lt;&gt;"",IF(AS126&lt;&gt;"","到貨","5次發包中"),IF(AH126&lt;&gt;"",IF(AR126&lt;&gt;"","到貨","4次發包中"),IF(AG126&lt;&gt;"",IF(AQ126&lt;&gt;"","到貨","3次發包中"),IF(AF126&lt;&gt;"",IF(AP126&lt;&gt;"","到貨","2次發包中"),IF(AE126&lt;&gt;"",IF(AO126&lt;&gt;"","到貨","發包中"),"")))))</f>
        <v/>
      </c>
      <c r="AW126" s="86">
        <f>IF(OR($AW$6=Y126),$AW$6,"")</f>
        <v/>
      </c>
      <c r="AX126" s="87">
        <f t="array" ref="AX126">IF(OR(AV126:AW126={"到貨","庫存"}),"完成","")</f>
        <v/>
      </c>
      <c r="AY126" s="92">
        <f>E126*$M$1</f>
        <v/>
      </c>
    </row>
    <row r="127" outlineLevel="1" ht="14.25" customHeight="1">
      <c r="A127" s="43" t="n">
        <v>122</v>
      </c>
      <c r="B127" s="526" t="n"/>
      <c r="C127" s="393" t="n"/>
      <c r="D127" s="427" t="n"/>
      <c r="E127" s="526" t="n"/>
      <c r="F127" s="526" t="n"/>
      <c r="G127" s="527" t="n"/>
      <c r="H127" s="393" t="n"/>
      <c r="I127" s="528" t="n"/>
      <c r="J127" s="528" t="n"/>
      <c r="K127" s="528" t="n"/>
      <c r="L127" s="529" t="n"/>
      <c r="M127" s="529" t="n"/>
      <c r="N127" s="530" t="n"/>
      <c r="O127" s="531" t="n"/>
      <c r="P127" s="527" t="n"/>
      <c r="Q127" s="528" t="n"/>
      <c r="R127" s="528" t="n"/>
      <c r="S127" s="528" t="n"/>
      <c r="T127" s="543" t="n"/>
      <c r="U127" s="534" t="n"/>
      <c r="V127" s="516" t="n"/>
      <c r="W127" s="535" t="n"/>
      <c r="X127" s="536" t="n"/>
      <c r="Y127" s="519" t="n"/>
      <c r="Z127" s="683" t="n"/>
      <c r="AA127" s="684" t="n"/>
      <c r="AB127" s="684" t="n"/>
      <c r="AC127" s="684" t="n"/>
      <c r="AD127" s="685" t="n"/>
      <c r="AE127" s="686" t="n"/>
      <c r="AF127" s="684" t="n"/>
      <c r="AG127" s="687" t="n"/>
      <c r="AH127" s="687" t="n"/>
      <c r="AI127" s="684" t="n"/>
      <c r="AJ127" s="686" t="n"/>
      <c r="AK127" s="687" t="n"/>
      <c r="AL127" s="687" t="n"/>
      <c r="AM127" s="687" t="n"/>
      <c r="AN127" s="688" t="n"/>
      <c r="AO127" s="686" t="n"/>
      <c r="AP127" s="689" t="n"/>
      <c r="AQ127" s="689" t="n"/>
      <c r="AR127" s="689" t="n"/>
      <c r="AS127" s="690" t="n"/>
      <c r="AT127" s="691">
        <f>IF(AJ127&lt;&gt;"",(IF(AV127="到貨","",(AJ127-TODAY()))),"")</f>
        <v/>
      </c>
      <c r="AU127" s="692">
        <f>IF(AO127&lt;&gt;"",(AO127-AE127),"")</f>
        <v/>
      </c>
      <c r="AV127" s="86">
        <f>IF(AI127&lt;&gt;"",IF(AS127&lt;&gt;"","到貨","5次發包中"),IF(AH127&lt;&gt;"",IF(AR127&lt;&gt;"","到貨","4次發包中"),IF(AG127&lt;&gt;"",IF(AQ127&lt;&gt;"","到貨","3次發包中"),IF(AF127&lt;&gt;"",IF(AP127&lt;&gt;"","到貨","2次發包中"),IF(AE127&lt;&gt;"",IF(AO127&lt;&gt;"","到貨","發包中"),"")))))</f>
        <v/>
      </c>
      <c r="AW127" s="86">
        <f>IF(OR($AW$6=Y127),$AW$6,"")</f>
        <v/>
      </c>
      <c r="AX127" s="87">
        <f t="array" ref="AX127">IF(OR(AV127:AW127={"到貨","庫存"}),"完成","")</f>
        <v/>
      </c>
      <c r="AY127" s="92">
        <f>E127*$M$1</f>
        <v/>
      </c>
    </row>
    <row r="128" outlineLevel="1" ht="14.25" customHeight="1">
      <c r="A128" s="43" t="n">
        <v>123</v>
      </c>
      <c r="B128" s="526" t="n"/>
      <c r="C128" s="393" t="n"/>
      <c r="D128" s="427" t="n"/>
      <c r="E128" s="526" t="n"/>
      <c r="F128" s="526" t="n"/>
      <c r="G128" s="527" t="n"/>
      <c r="H128" s="393" t="n"/>
      <c r="I128" s="528" t="n"/>
      <c r="J128" s="528" t="n"/>
      <c r="K128" s="528" t="n"/>
      <c r="L128" s="529" t="n"/>
      <c r="M128" s="529" t="n"/>
      <c r="N128" s="530" t="n"/>
      <c r="O128" s="531" t="n"/>
      <c r="P128" s="527" t="n"/>
      <c r="Q128" s="528" t="n"/>
      <c r="R128" s="528" t="n"/>
      <c r="S128" s="528" t="n"/>
      <c r="T128" s="543" t="n"/>
      <c r="U128" s="534" t="n"/>
      <c r="V128" s="516" t="n"/>
      <c r="W128" s="535" t="n"/>
      <c r="X128" s="536" t="n"/>
      <c r="Y128" s="519" t="n"/>
      <c r="Z128" s="683" t="n"/>
      <c r="AA128" s="684" t="n"/>
      <c r="AB128" s="684" t="n"/>
      <c r="AC128" s="684" t="n"/>
      <c r="AD128" s="685" t="n"/>
      <c r="AE128" s="686" t="n"/>
      <c r="AF128" s="684" t="n"/>
      <c r="AG128" s="687" t="n"/>
      <c r="AH128" s="687" t="n"/>
      <c r="AI128" s="684" t="n"/>
      <c r="AJ128" s="686" t="n"/>
      <c r="AK128" s="687" t="n"/>
      <c r="AL128" s="687" t="n"/>
      <c r="AM128" s="687" t="n"/>
      <c r="AN128" s="688" t="n"/>
      <c r="AO128" s="686" t="n"/>
      <c r="AP128" s="689" t="n"/>
      <c r="AQ128" s="689" t="n"/>
      <c r="AR128" s="689" t="n"/>
      <c r="AS128" s="690" t="n"/>
      <c r="AT128" s="691">
        <f>IF(AJ128&lt;&gt;"",(IF(AV128="到貨","",(AJ128-TODAY()))),"")</f>
        <v/>
      </c>
      <c r="AU128" s="692">
        <f>IF(AO128&lt;&gt;"",(AO128-AE128),"")</f>
        <v/>
      </c>
      <c r="AV128" s="86">
        <f>IF(AI128&lt;&gt;"",IF(AS128&lt;&gt;"","到貨","5次發包中"),IF(AH128&lt;&gt;"",IF(AR128&lt;&gt;"","到貨","4次發包中"),IF(AG128&lt;&gt;"",IF(AQ128&lt;&gt;"","到貨","3次發包中"),IF(AF128&lt;&gt;"",IF(AP128&lt;&gt;"","到貨","2次發包中"),IF(AE128&lt;&gt;"",IF(AO128&lt;&gt;"","到貨","發包中"),"")))))</f>
        <v/>
      </c>
      <c r="AW128" s="86">
        <f>IF(OR($AW$6=Y128),$AW$6,"")</f>
        <v/>
      </c>
      <c r="AX128" s="87">
        <f t="array" ref="AX128">IF(OR(AV128:AW128={"到貨","庫存"}),"完成","")</f>
        <v/>
      </c>
      <c r="AY128" s="92">
        <f>E128*$M$1</f>
        <v/>
      </c>
    </row>
    <row r="129" outlineLevel="1" ht="14.25" customHeight="1">
      <c r="A129" s="43" t="n">
        <v>124</v>
      </c>
      <c r="B129" s="526" t="n"/>
      <c r="C129" s="393" t="n"/>
      <c r="D129" s="427" t="n"/>
      <c r="E129" s="526" t="n"/>
      <c r="F129" s="526" t="n"/>
      <c r="G129" s="527" t="n"/>
      <c r="H129" s="393" t="n"/>
      <c r="I129" s="528" t="n"/>
      <c r="J129" s="528" t="n"/>
      <c r="K129" s="528" t="n"/>
      <c r="L129" s="529" t="n"/>
      <c r="M129" s="529" t="n"/>
      <c r="N129" s="530" t="n"/>
      <c r="O129" s="531" t="n"/>
      <c r="P129" s="527" t="n"/>
      <c r="Q129" s="528" t="n"/>
      <c r="R129" s="528" t="n"/>
      <c r="S129" s="528" t="n"/>
      <c r="T129" s="543" t="n"/>
      <c r="U129" s="534" t="n"/>
      <c r="V129" s="516" t="n"/>
      <c r="W129" s="535" t="n"/>
      <c r="X129" s="536" t="n"/>
      <c r="Y129" s="519" t="n"/>
      <c r="Z129" s="683" t="n"/>
      <c r="AA129" s="684" t="n"/>
      <c r="AB129" s="684" t="n"/>
      <c r="AC129" s="684" t="n"/>
      <c r="AD129" s="685" t="n"/>
      <c r="AE129" s="686" t="n"/>
      <c r="AF129" s="684" t="n"/>
      <c r="AG129" s="687" t="n"/>
      <c r="AH129" s="687" t="n"/>
      <c r="AI129" s="684" t="n"/>
      <c r="AJ129" s="686" t="n"/>
      <c r="AK129" s="687" t="n"/>
      <c r="AL129" s="687" t="n"/>
      <c r="AM129" s="687" t="n"/>
      <c r="AN129" s="688" t="n"/>
      <c r="AO129" s="686" t="n"/>
      <c r="AP129" s="689" t="n"/>
      <c r="AQ129" s="689" t="n"/>
      <c r="AR129" s="689" t="n"/>
      <c r="AS129" s="690" t="n"/>
      <c r="AT129" s="691">
        <f>IF(AJ129&lt;&gt;"",(IF(AV129="到貨","",(AJ129-TODAY()))),"")</f>
        <v/>
      </c>
      <c r="AU129" s="692">
        <f>IF(AO129&lt;&gt;"",(AO129-AE129),"")</f>
        <v/>
      </c>
      <c r="AV129" s="86">
        <f>IF(AI129&lt;&gt;"",IF(AS129&lt;&gt;"","到貨","5次發包中"),IF(AH129&lt;&gt;"",IF(AR129&lt;&gt;"","到貨","4次發包中"),IF(AG129&lt;&gt;"",IF(AQ129&lt;&gt;"","到貨","3次發包中"),IF(AF129&lt;&gt;"",IF(AP129&lt;&gt;"","到貨","2次發包中"),IF(AE129&lt;&gt;"",IF(AO129&lt;&gt;"","到貨","發包中"),"")))))</f>
        <v/>
      </c>
      <c r="AW129" s="86">
        <f>IF(OR($AW$6=Y129),$AW$6,"")</f>
        <v/>
      </c>
      <c r="AX129" s="87">
        <f t="array" ref="AX129">IF(OR(AV129:AW129={"到貨","庫存"}),"完成","")</f>
        <v/>
      </c>
      <c r="AY129" s="92">
        <f>E129*$M$1</f>
        <v/>
      </c>
    </row>
    <row r="130" outlineLevel="1" ht="14.25" customHeight="1">
      <c r="A130" s="43" t="n">
        <v>125</v>
      </c>
      <c r="B130" s="526" t="n"/>
      <c r="C130" s="393" t="n"/>
      <c r="D130" s="427" t="n"/>
      <c r="E130" s="526" t="n"/>
      <c r="F130" s="526" t="n"/>
      <c r="G130" s="527" t="n"/>
      <c r="H130" s="393" t="n"/>
      <c r="I130" s="528" t="n"/>
      <c r="J130" s="528" t="n"/>
      <c r="K130" s="528" t="n"/>
      <c r="L130" s="529" t="n"/>
      <c r="M130" s="529" t="n"/>
      <c r="N130" s="530" t="n"/>
      <c r="O130" s="531" t="n"/>
      <c r="P130" s="527" t="n"/>
      <c r="Q130" s="528" t="n"/>
      <c r="R130" s="528" t="n"/>
      <c r="S130" s="528" t="n"/>
      <c r="T130" s="543" t="n"/>
      <c r="U130" s="534" t="n"/>
      <c r="V130" s="516" t="n"/>
      <c r="W130" s="535" t="n"/>
      <c r="X130" s="536" t="n"/>
      <c r="Y130" s="519" t="n"/>
      <c r="Z130" s="683" t="n"/>
      <c r="AA130" s="684" t="n"/>
      <c r="AB130" s="684" t="n"/>
      <c r="AC130" s="684" t="n"/>
      <c r="AD130" s="685" t="n"/>
      <c r="AE130" s="686" t="n"/>
      <c r="AF130" s="684" t="n"/>
      <c r="AG130" s="687" t="n"/>
      <c r="AH130" s="687" t="n"/>
      <c r="AI130" s="684" t="n"/>
      <c r="AJ130" s="686" t="n"/>
      <c r="AK130" s="687" t="n"/>
      <c r="AL130" s="687" t="n"/>
      <c r="AM130" s="687" t="n"/>
      <c r="AN130" s="688" t="n"/>
      <c r="AO130" s="686" t="n"/>
      <c r="AP130" s="689" t="n"/>
      <c r="AQ130" s="689" t="n"/>
      <c r="AR130" s="689" t="n"/>
      <c r="AS130" s="690" t="n"/>
      <c r="AT130" s="691">
        <f>IF(AJ130&lt;&gt;"",(IF(AV130="到貨","",(AJ130-TODAY()))),"")</f>
        <v/>
      </c>
      <c r="AU130" s="692">
        <f>IF(AO130&lt;&gt;"",(AO130-AE130),"")</f>
        <v/>
      </c>
      <c r="AV130" s="86">
        <f>IF(AI130&lt;&gt;"",IF(AS130&lt;&gt;"","到貨","5次發包中"),IF(AH130&lt;&gt;"",IF(AR130&lt;&gt;"","到貨","4次發包中"),IF(AG130&lt;&gt;"",IF(AQ130&lt;&gt;"","到貨","3次發包中"),IF(AF130&lt;&gt;"",IF(AP130&lt;&gt;"","到貨","2次發包中"),IF(AE130&lt;&gt;"",IF(AO130&lt;&gt;"","到貨","發包中"),"")))))</f>
        <v/>
      </c>
      <c r="AW130" s="86">
        <f>IF(OR($AW$6=Y130),$AW$6,"")</f>
        <v/>
      </c>
      <c r="AX130" s="87">
        <f t="array" ref="AX130">IF(OR(AV130:AW130={"到貨","庫存"}),"完成","")</f>
        <v/>
      </c>
      <c r="AY130" s="92">
        <f>E130*$M$1</f>
        <v/>
      </c>
    </row>
    <row r="131" outlineLevel="1" ht="14.25" customHeight="1">
      <c r="A131" s="43" t="n">
        <v>126</v>
      </c>
      <c r="B131" s="526" t="n"/>
      <c r="C131" s="393" t="n"/>
      <c r="D131" s="427" t="n"/>
      <c r="E131" s="526" t="n"/>
      <c r="F131" s="526" t="n"/>
      <c r="G131" s="527" t="n"/>
      <c r="H131" s="393" t="n"/>
      <c r="I131" s="528" t="n"/>
      <c r="J131" s="528" t="n"/>
      <c r="K131" s="528" t="n"/>
      <c r="L131" s="529" t="n"/>
      <c r="M131" s="529" t="n"/>
      <c r="N131" s="530" t="n"/>
      <c r="O131" s="531" t="n"/>
      <c r="P131" s="527" t="n"/>
      <c r="Q131" s="528" t="n"/>
      <c r="R131" s="528" t="n"/>
      <c r="S131" s="528" t="n"/>
      <c r="T131" s="543" t="n"/>
      <c r="U131" s="534" t="n"/>
      <c r="V131" s="516" t="n"/>
      <c r="W131" s="535" t="n"/>
      <c r="X131" s="536" t="n"/>
      <c r="Y131" s="519" t="n"/>
      <c r="Z131" s="683" t="n"/>
      <c r="AA131" s="684" t="n"/>
      <c r="AB131" s="684" t="n"/>
      <c r="AC131" s="684" t="n"/>
      <c r="AD131" s="685" t="n"/>
      <c r="AE131" s="686" t="n"/>
      <c r="AF131" s="684" t="n"/>
      <c r="AG131" s="687" t="n"/>
      <c r="AH131" s="687" t="n"/>
      <c r="AI131" s="684" t="n"/>
      <c r="AJ131" s="686" t="n"/>
      <c r="AK131" s="687" t="n"/>
      <c r="AL131" s="687" t="n"/>
      <c r="AM131" s="687" t="n"/>
      <c r="AN131" s="688" t="n"/>
      <c r="AO131" s="686" t="n"/>
      <c r="AP131" s="689" t="n"/>
      <c r="AQ131" s="689" t="n"/>
      <c r="AR131" s="689" t="n"/>
      <c r="AS131" s="690" t="n"/>
      <c r="AT131" s="691">
        <f>IF(AJ131&lt;&gt;"",(IF(AV131="到貨","",(AJ131-TODAY()))),"")</f>
        <v/>
      </c>
      <c r="AU131" s="692">
        <f>IF(AO131&lt;&gt;"",(AO131-AE131),"")</f>
        <v/>
      </c>
      <c r="AV131" s="86">
        <f>IF(AI131&lt;&gt;"",IF(AS131&lt;&gt;"","到貨","5次發包中"),IF(AH131&lt;&gt;"",IF(AR131&lt;&gt;"","到貨","4次發包中"),IF(AG131&lt;&gt;"",IF(AQ131&lt;&gt;"","到貨","3次發包中"),IF(AF131&lt;&gt;"",IF(AP131&lt;&gt;"","到貨","2次發包中"),IF(AE131&lt;&gt;"",IF(AO131&lt;&gt;"","到貨","發包中"),"")))))</f>
        <v/>
      </c>
      <c r="AW131" s="86">
        <f>IF(OR($AW$6=Y131),$AW$6,"")</f>
        <v/>
      </c>
      <c r="AX131" s="87">
        <f t="array" ref="AX131">IF(OR(AV131:AW131={"到貨","庫存"}),"完成","")</f>
        <v/>
      </c>
      <c r="AY131" s="92">
        <f>E131*$M$1</f>
        <v/>
      </c>
    </row>
    <row r="132" outlineLevel="1" ht="14.25" customHeight="1">
      <c r="A132" s="43" t="n">
        <v>127</v>
      </c>
      <c r="B132" s="526" t="n"/>
      <c r="C132" s="393" t="n"/>
      <c r="D132" s="427" t="n"/>
      <c r="E132" s="526" t="n"/>
      <c r="F132" s="526" t="n"/>
      <c r="G132" s="527" t="n"/>
      <c r="H132" s="393" t="n"/>
      <c r="I132" s="528" t="n"/>
      <c r="J132" s="528" t="n"/>
      <c r="K132" s="528" t="n"/>
      <c r="L132" s="529" t="n"/>
      <c r="M132" s="529" t="n"/>
      <c r="N132" s="530" t="n"/>
      <c r="O132" s="531" t="n"/>
      <c r="P132" s="527" t="n"/>
      <c r="Q132" s="528" t="n"/>
      <c r="R132" s="528" t="n"/>
      <c r="S132" s="528" t="n"/>
      <c r="T132" s="543" t="n"/>
      <c r="U132" s="534" t="n"/>
      <c r="V132" s="516" t="n"/>
      <c r="W132" s="535" t="n"/>
      <c r="X132" s="536" t="n"/>
      <c r="Y132" s="519" t="n"/>
      <c r="Z132" s="683" t="n"/>
      <c r="AA132" s="684" t="n"/>
      <c r="AB132" s="684" t="n"/>
      <c r="AC132" s="684" t="n"/>
      <c r="AD132" s="685" t="n"/>
      <c r="AE132" s="686" t="n"/>
      <c r="AF132" s="684" t="n"/>
      <c r="AG132" s="687" t="n"/>
      <c r="AH132" s="687" t="n"/>
      <c r="AI132" s="684" t="n"/>
      <c r="AJ132" s="686" t="n"/>
      <c r="AK132" s="687" t="n"/>
      <c r="AL132" s="687" t="n"/>
      <c r="AM132" s="687" t="n"/>
      <c r="AN132" s="688" t="n"/>
      <c r="AO132" s="686" t="n"/>
      <c r="AP132" s="689" t="n"/>
      <c r="AQ132" s="689" t="n"/>
      <c r="AR132" s="689" t="n"/>
      <c r="AS132" s="690" t="n"/>
      <c r="AT132" s="691">
        <f>IF(AJ132&lt;&gt;"",(IF(AV132="到貨","",(AJ132-TODAY()))),"")</f>
        <v/>
      </c>
      <c r="AU132" s="692">
        <f>IF(AO132&lt;&gt;"",(AO132-AE132),"")</f>
        <v/>
      </c>
      <c r="AV132" s="86">
        <f>IF(AI132&lt;&gt;"",IF(AS132&lt;&gt;"","到貨","5次發包中"),IF(AH132&lt;&gt;"",IF(AR132&lt;&gt;"","到貨","4次發包中"),IF(AG132&lt;&gt;"",IF(AQ132&lt;&gt;"","到貨","3次發包中"),IF(AF132&lt;&gt;"",IF(AP132&lt;&gt;"","到貨","2次發包中"),IF(AE132&lt;&gt;"",IF(AO132&lt;&gt;"","到貨","發包中"),"")))))</f>
        <v/>
      </c>
      <c r="AW132" s="86">
        <f>IF(OR($AW$6=Y132),$AW$6,"")</f>
        <v/>
      </c>
      <c r="AX132" s="87">
        <f t="array" ref="AX132">IF(OR(AV132:AW132={"到貨","庫存"}),"完成","")</f>
        <v/>
      </c>
      <c r="AY132" s="92">
        <f>E132*$M$1</f>
        <v/>
      </c>
    </row>
    <row r="133" outlineLevel="1" ht="14.25" customHeight="1">
      <c r="A133" s="43" t="n">
        <v>128</v>
      </c>
      <c r="B133" s="526" t="n"/>
      <c r="C133" s="393" t="n"/>
      <c r="D133" s="427" t="n"/>
      <c r="E133" s="526" t="n"/>
      <c r="F133" s="526" t="n"/>
      <c r="G133" s="527" t="n"/>
      <c r="H133" s="393" t="n"/>
      <c r="I133" s="528" t="n"/>
      <c r="J133" s="528" t="n"/>
      <c r="K133" s="528" t="n"/>
      <c r="L133" s="529" t="n"/>
      <c r="M133" s="529" t="n"/>
      <c r="N133" s="530" t="n"/>
      <c r="O133" s="531" t="n"/>
      <c r="P133" s="527" t="n"/>
      <c r="Q133" s="528" t="n"/>
      <c r="R133" s="528" t="n"/>
      <c r="S133" s="528" t="n"/>
      <c r="T133" s="543" t="n"/>
      <c r="U133" s="534" t="n"/>
      <c r="V133" s="516" t="n"/>
      <c r="W133" s="535" t="n"/>
      <c r="X133" s="536" t="n"/>
      <c r="Y133" s="519" t="n"/>
      <c r="Z133" s="683" t="n"/>
      <c r="AA133" s="684" t="n"/>
      <c r="AB133" s="684" t="n"/>
      <c r="AC133" s="684" t="n"/>
      <c r="AD133" s="685" t="n"/>
      <c r="AE133" s="686" t="n"/>
      <c r="AF133" s="684" t="n"/>
      <c r="AG133" s="687" t="n"/>
      <c r="AH133" s="687" t="n"/>
      <c r="AI133" s="684" t="n"/>
      <c r="AJ133" s="686" t="n"/>
      <c r="AK133" s="687" t="n"/>
      <c r="AL133" s="687" t="n"/>
      <c r="AM133" s="687" t="n"/>
      <c r="AN133" s="688" t="n"/>
      <c r="AO133" s="686" t="n"/>
      <c r="AP133" s="689" t="n"/>
      <c r="AQ133" s="689" t="n"/>
      <c r="AR133" s="689" t="n"/>
      <c r="AS133" s="690" t="n"/>
      <c r="AT133" s="691">
        <f>IF(AJ133&lt;&gt;"",(IF(AV133="到貨","",(AJ133-TODAY()))),"")</f>
        <v/>
      </c>
      <c r="AU133" s="692">
        <f>IF(AO133&lt;&gt;"",(AO133-AE133),"")</f>
        <v/>
      </c>
      <c r="AV133" s="86">
        <f>IF(AI133&lt;&gt;"",IF(AS133&lt;&gt;"","到貨","5次發包中"),IF(AH133&lt;&gt;"",IF(AR133&lt;&gt;"","到貨","4次發包中"),IF(AG133&lt;&gt;"",IF(AQ133&lt;&gt;"","到貨","3次發包中"),IF(AF133&lt;&gt;"",IF(AP133&lt;&gt;"","到貨","2次發包中"),IF(AE133&lt;&gt;"",IF(AO133&lt;&gt;"","到貨","發包中"),"")))))</f>
        <v/>
      </c>
      <c r="AW133" s="86">
        <f>IF(OR($AW$6=Y133),$AW$6,"")</f>
        <v/>
      </c>
      <c r="AX133" s="87">
        <f t="array" ref="AX133">IF(OR(AV133:AW133={"到貨","庫存"}),"完成","")</f>
        <v/>
      </c>
      <c r="AY133" s="92">
        <f>E133*$M$1</f>
        <v/>
      </c>
    </row>
    <row r="134" outlineLevel="1" ht="14.25" customHeight="1">
      <c r="A134" s="43" t="n">
        <v>129</v>
      </c>
      <c r="B134" s="526" t="n"/>
      <c r="C134" s="393" t="n"/>
      <c r="D134" s="427" t="n"/>
      <c r="E134" s="526" t="n"/>
      <c r="F134" s="526" t="n"/>
      <c r="G134" s="527" t="n"/>
      <c r="H134" s="393" t="n"/>
      <c r="I134" s="528" t="n"/>
      <c r="J134" s="528" t="n"/>
      <c r="K134" s="528" t="n"/>
      <c r="L134" s="529" t="n"/>
      <c r="M134" s="529" t="n"/>
      <c r="N134" s="530" t="n"/>
      <c r="O134" s="531" t="n"/>
      <c r="P134" s="527" t="n"/>
      <c r="Q134" s="528" t="n"/>
      <c r="R134" s="528" t="n"/>
      <c r="S134" s="528" t="n"/>
      <c r="T134" s="543" t="n"/>
      <c r="U134" s="534" t="n"/>
      <c r="V134" s="516" t="n"/>
      <c r="W134" s="535" t="n"/>
      <c r="X134" s="536" t="n"/>
      <c r="Y134" s="519" t="n"/>
      <c r="Z134" s="683" t="n"/>
      <c r="AA134" s="684" t="n"/>
      <c r="AB134" s="684" t="n"/>
      <c r="AC134" s="684" t="n"/>
      <c r="AD134" s="685" t="n"/>
      <c r="AE134" s="686" t="n"/>
      <c r="AF134" s="684" t="n"/>
      <c r="AG134" s="687" t="n"/>
      <c r="AH134" s="687" t="n"/>
      <c r="AI134" s="684" t="n"/>
      <c r="AJ134" s="686" t="n"/>
      <c r="AK134" s="687" t="n"/>
      <c r="AL134" s="687" t="n"/>
      <c r="AM134" s="687" t="n"/>
      <c r="AN134" s="688" t="n"/>
      <c r="AO134" s="686" t="n"/>
      <c r="AP134" s="689" t="n"/>
      <c r="AQ134" s="689" t="n"/>
      <c r="AR134" s="689" t="n"/>
      <c r="AS134" s="690" t="n"/>
      <c r="AT134" s="691">
        <f>IF(AJ134&lt;&gt;"",(IF(AV134="到貨","",(AJ134-TODAY()))),"")</f>
        <v/>
      </c>
      <c r="AU134" s="692">
        <f>IF(AO134&lt;&gt;"",(AO134-AE134),"")</f>
        <v/>
      </c>
      <c r="AV134" s="86">
        <f>IF(AI134&lt;&gt;"",IF(AS134&lt;&gt;"","到貨","5次發包中"),IF(AH134&lt;&gt;"",IF(AR134&lt;&gt;"","到貨","4次發包中"),IF(AG134&lt;&gt;"",IF(AQ134&lt;&gt;"","到貨","3次發包中"),IF(AF134&lt;&gt;"",IF(AP134&lt;&gt;"","到貨","2次發包中"),IF(AE134&lt;&gt;"",IF(AO134&lt;&gt;"","到貨","發包中"),"")))))</f>
        <v/>
      </c>
      <c r="AW134" s="86">
        <f>IF(OR($AW$6=Y134),$AW$6,"")</f>
        <v/>
      </c>
      <c r="AX134" s="87">
        <f t="array" ref="AX134">IF(OR(AV134:AW134={"到貨","庫存"}),"完成","")</f>
        <v/>
      </c>
      <c r="AY134" s="92">
        <f>E134*$M$1</f>
        <v/>
      </c>
    </row>
    <row r="135" outlineLevel="1" ht="14.25" customHeight="1">
      <c r="A135" s="43" t="n">
        <v>130</v>
      </c>
      <c r="B135" s="526" t="n"/>
      <c r="C135" s="393" t="n"/>
      <c r="D135" s="427" t="n"/>
      <c r="E135" s="526" t="n"/>
      <c r="F135" s="526" t="n"/>
      <c r="G135" s="527" t="n"/>
      <c r="H135" s="393" t="n"/>
      <c r="I135" s="528" t="n"/>
      <c r="J135" s="528" t="n"/>
      <c r="K135" s="528" t="n"/>
      <c r="L135" s="529" t="n"/>
      <c r="M135" s="529" t="n"/>
      <c r="N135" s="530" t="n"/>
      <c r="O135" s="531" t="n"/>
      <c r="P135" s="527" t="n"/>
      <c r="Q135" s="528" t="n"/>
      <c r="R135" s="528" t="n"/>
      <c r="S135" s="528" t="n"/>
      <c r="T135" s="543" t="n"/>
      <c r="U135" s="534" t="n"/>
      <c r="V135" s="516" t="n"/>
      <c r="W135" s="535" t="n"/>
      <c r="X135" s="536" t="n"/>
      <c r="Y135" s="519" t="n"/>
      <c r="Z135" s="683" t="n"/>
      <c r="AA135" s="684" t="n"/>
      <c r="AB135" s="684" t="n"/>
      <c r="AC135" s="684" t="n"/>
      <c r="AD135" s="685" t="n"/>
      <c r="AE135" s="686" t="n"/>
      <c r="AF135" s="684" t="n"/>
      <c r="AG135" s="687" t="n"/>
      <c r="AH135" s="687" t="n"/>
      <c r="AI135" s="684" t="n"/>
      <c r="AJ135" s="686" t="n"/>
      <c r="AK135" s="687" t="n"/>
      <c r="AL135" s="687" t="n"/>
      <c r="AM135" s="687" t="n"/>
      <c r="AN135" s="688" t="n"/>
      <c r="AO135" s="686" t="n"/>
      <c r="AP135" s="689" t="n"/>
      <c r="AQ135" s="689" t="n"/>
      <c r="AR135" s="689" t="n"/>
      <c r="AS135" s="690" t="n"/>
      <c r="AT135" s="691">
        <f>IF(AJ135&lt;&gt;"",(IF(AV135="到貨","",(AJ135-TODAY()))),"")</f>
        <v/>
      </c>
      <c r="AU135" s="692">
        <f>IF(AO135&lt;&gt;"",(AO135-AE135),"")</f>
        <v/>
      </c>
      <c r="AV135" s="86">
        <f>IF(AI135&lt;&gt;"",IF(AS135&lt;&gt;"","到貨","5次發包中"),IF(AH135&lt;&gt;"",IF(AR135&lt;&gt;"","到貨","4次發包中"),IF(AG135&lt;&gt;"",IF(AQ135&lt;&gt;"","到貨","3次發包中"),IF(AF135&lt;&gt;"",IF(AP135&lt;&gt;"","到貨","2次發包中"),IF(AE135&lt;&gt;"",IF(AO135&lt;&gt;"","到貨","發包中"),"")))))</f>
        <v/>
      </c>
      <c r="AW135" s="86">
        <f>IF(OR($AW$6=Y135),$AW$6,"")</f>
        <v/>
      </c>
      <c r="AX135" s="87">
        <f t="array" ref="AX135">IF(OR(AV135:AW135={"到貨","庫存"}),"完成","")</f>
        <v/>
      </c>
      <c r="AY135" s="92">
        <f>E135*$M$1</f>
        <v/>
      </c>
    </row>
    <row r="136" outlineLevel="1" ht="14.25" customHeight="1">
      <c r="A136" s="43" t="n">
        <v>131</v>
      </c>
      <c r="B136" s="526" t="n"/>
      <c r="C136" s="393" t="n"/>
      <c r="D136" s="427" t="n"/>
      <c r="E136" s="526" t="n"/>
      <c r="F136" s="526" t="n"/>
      <c r="G136" s="527" t="n"/>
      <c r="H136" s="393" t="n"/>
      <c r="I136" s="528" t="n"/>
      <c r="J136" s="528" t="n"/>
      <c r="K136" s="528" t="n"/>
      <c r="L136" s="529" t="n"/>
      <c r="M136" s="529" t="n"/>
      <c r="N136" s="530" t="n"/>
      <c r="O136" s="531" t="n"/>
      <c r="P136" s="527" t="n"/>
      <c r="Q136" s="528" t="n"/>
      <c r="R136" s="528" t="n"/>
      <c r="S136" s="528" t="n"/>
      <c r="T136" s="543" t="n"/>
      <c r="U136" s="534" t="n"/>
      <c r="V136" s="516" t="n"/>
      <c r="W136" s="535" t="n"/>
      <c r="X136" s="536" t="n"/>
      <c r="Y136" s="519" t="n"/>
      <c r="Z136" s="683" t="n"/>
      <c r="AA136" s="684" t="n"/>
      <c r="AB136" s="684" t="n"/>
      <c r="AC136" s="684" t="n"/>
      <c r="AD136" s="685" t="n"/>
      <c r="AE136" s="686" t="n"/>
      <c r="AF136" s="684" t="n"/>
      <c r="AG136" s="687" t="n"/>
      <c r="AH136" s="687" t="n"/>
      <c r="AI136" s="684" t="n"/>
      <c r="AJ136" s="686" t="n"/>
      <c r="AK136" s="687" t="n"/>
      <c r="AL136" s="687" t="n"/>
      <c r="AM136" s="687" t="n"/>
      <c r="AN136" s="688" t="n"/>
      <c r="AO136" s="686" t="n"/>
      <c r="AP136" s="689" t="n"/>
      <c r="AQ136" s="689" t="n"/>
      <c r="AR136" s="689" t="n"/>
      <c r="AS136" s="690" t="n"/>
      <c r="AT136" s="691">
        <f>IF(AJ136&lt;&gt;"",(IF(AV136="到貨","",(AJ136-TODAY()))),"")</f>
        <v/>
      </c>
      <c r="AU136" s="692">
        <f>IF(AO136&lt;&gt;"",(AO136-AE136),"")</f>
        <v/>
      </c>
      <c r="AV136" s="86">
        <f>IF(AI136&lt;&gt;"",IF(AS136&lt;&gt;"","到貨","5次發包中"),IF(AH136&lt;&gt;"",IF(AR136&lt;&gt;"","到貨","4次發包中"),IF(AG136&lt;&gt;"",IF(AQ136&lt;&gt;"","到貨","3次發包中"),IF(AF136&lt;&gt;"",IF(AP136&lt;&gt;"","到貨","2次發包中"),IF(AE136&lt;&gt;"",IF(AO136&lt;&gt;"","到貨","發包中"),"")))))</f>
        <v/>
      </c>
      <c r="AW136" s="86">
        <f>IF(OR($AW$6=Y136),$AW$6,"")</f>
        <v/>
      </c>
      <c r="AX136" s="87">
        <f t="array" ref="AX136">IF(OR(AV136:AW136={"到貨","庫存"}),"完成","")</f>
        <v/>
      </c>
      <c r="AY136" s="92">
        <f>E136*$M$1</f>
        <v/>
      </c>
    </row>
    <row r="137" outlineLevel="1" ht="14.25" customHeight="1">
      <c r="A137" s="43" t="n">
        <v>132</v>
      </c>
      <c r="B137" s="526" t="n"/>
      <c r="C137" s="393" t="n"/>
      <c r="D137" s="427" t="n"/>
      <c r="E137" s="526" t="n"/>
      <c r="F137" s="526" t="n"/>
      <c r="G137" s="527" t="n"/>
      <c r="H137" s="393" t="n"/>
      <c r="I137" s="528" t="n"/>
      <c r="J137" s="528" t="n"/>
      <c r="K137" s="528" t="n"/>
      <c r="L137" s="529" t="n"/>
      <c r="M137" s="529" t="n"/>
      <c r="N137" s="530" t="n"/>
      <c r="O137" s="531" t="n"/>
      <c r="P137" s="527" t="n"/>
      <c r="Q137" s="528" t="n"/>
      <c r="R137" s="528" t="n"/>
      <c r="S137" s="528" t="n"/>
      <c r="T137" s="543" t="n"/>
      <c r="U137" s="534" t="n"/>
      <c r="V137" s="516" t="n"/>
      <c r="W137" s="535" t="n"/>
      <c r="X137" s="536" t="n"/>
      <c r="Y137" s="519" t="n"/>
      <c r="Z137" s="683" t="n"/>
      <c r="AA137" s="684" t="n"/>
      <c r="AB137" s="684" t="n"/>
      <c r="AC137" s="684" t="n"/>
      <c r="AD137" s="685" t="n"/>
      <c r="AE137" s="686" t="n"/>
      <c r="AF137" s="684" t="n"/>
      <c r="AG137" s="687" t="n"/>
      <c r="AH137" s="687" t="n"/>
      <c r="AI137" s="684" t="n"/>
      <c r="AJ137" s="686" t="n"/>
      <c r="AK137" s="687" t="n"/>
      <c r="AL137" s="687" t="n"/>
      <c r="AM137" s="687" t="n"/>
      <c r="AN137" s="688" t="n"/>
      <c r="AO137" s="686" t="n"/>
      <c r="AP137" s="689" t="n"/>
      <c r="AQ137" s="689" t="n"/>
      <c r="AR137" s="689" t="n"/>
      <c r="AS137" s="690" t="n"/>
      <c r="AT137" s="691">
        <f>IF(AJ137&lt;&gt;"",(IF(AV137="到貨","",(AJ137-TODAY()))),"")</f>
        <v/>
      </c>
      <c r="AU137" s="692">
        <f>IF(AO137&lt;&gt;"",(AO137-AE137),"")</f>
        <v/>
      </c>
      <c r="AV137" s="86">
        <f>IF(AI137&lt;&gt;"",IF(AS137&lt;&gt;"","到貨","5次發包中"),IF(AH137&lt;&gt;"",IF(AR137&lt;&gt;"","到貨","4次發包中"),IF(AG137&lt;&gt;"",IF(AQ137&lt;&gt;"","到貨","3次發包中"),IF(AF137&lt;&gt;"",IF(AP137&lt;&gt;"","到貨","2次發包中"),IF(AE137&lt;&gt;"",IF(AO137&lt;&gt;"","到貨","發包中"),"")))))</f>
        <v/>
      </c>
      <c r="AW137" s="86">
        <f>IF(OR($AW$6=Y137),$AW$6,"")</f>
        <v/>
      </c>
      <c r="AX137" s="87">
        <f t="array" ref="AX137">IF(OR(AV137:AW137={"到貨","庫存"}),"完成","")</f>
        <v/>
      </c>
      <c r="AY137" s="92">
        <f>E137*$M$1</f>
        <v/>
      </c>
    </row>
    <row r="138" outlineLevel="1" ht="14.25" customHeight="1">
      <c r="A138" s="43" t="n">
        <v>133</v>
      </c>
      <c r="B138" s="526" t="n"/>
      <c r="C138" s="393" t="n"/>
      <c r="D138" s="427" t="n"/>
      <c r="E138" s="526" t="n"/>
      <c r="F138" s="526" t="n"/>
      <c r="G138" s="527" t="n"/>
      <c r="H138" s="393" t="n"/>
      <c r="I138" s="528" t="n"/>
      <c r="J138" s="528" t="n"/>
      <c r="K138" s="528" t="n"/>
      <c r="L138" s="529" t="n"/>
      <c r="M138" s="529" t="n"/>
      <c r="N138" s="530" t="n"/>
      <c r="O138" s="531" t="n"/>
      <c r="P138" s="527" t="n"/>
      <c r="Q138" s="528" t="n"/>
      <c r="R138" s="528" t="n"/>
      <c r="S138" s="528" t="n"/>
      <c r="T138" s="543" t="n"/>
      <c r="U138" s="534" t="n"/>
      <c r="V138" s="516" t="n"/>
      <c r="W138" s="535" t="n"/>
      <c r="X138" s="536" t="n"/>
      <c r="Y138" s="519" t="n"/>
      <c r="Z138" s="683" t="n"/>
      <c r="AA138" s="684" t="n"/>
      <c r="AB138" s="684" t="n"/>
      <c r="AC138" s="684" t="n"/>
      <c r="AD138" s="685" t="n"/>
      <c r="AE138" s="686" t="n"/>
      <c r="AF138" s="684" t="n"/>
      <c r="AG138" s="687" t="n"/>
      <c r="AH138" s="687" t="n"/>
      <c r="AI138" s="684" t="n"/>
      <c r="AJ138" s="686" t="n"/>
      <c r="AK138" s="687" t="n"/>
      <c r="AL138" s="687" t="n"/>
      <c r="AM138" s="687" t="n"/>
      <c r="AN138" s="688" t="n"/>
      <c r="AO138" s="686" t="n"/>
      <c r="AP138" s="689" t="n"/>
      <c r="AQ138" s="689" t="n"/>
      <c r="AR138" s="689" t="n"/>
      <c r="AS138" s="690" t="n"/>
      <c r="AT138" s="691">
        <f>IF(AJ138&lt;&gt;"",(IF(AV138="到貨","",(AJ138-TODAY()))),"")</f>
        <v/>
      </c>
      <c r="AU138" s="692">
        <f>IF(AO138&lt;&gt;"",(AO138-AE138),"")</f>
        <v/>
      </c>
      <c r="AV138" s="86">
        <f>IF(AI138&lt;&gt;"",IF(AS138&lt;&gt;"","到貨","5次發包中"),IF(AH138&lt;&gt;"",IF(AR138&lt;&gt;"","到貨","4次發包中"),IF(AG138&lt;&gt;"",IF(AQ138&lt;&gt;"","到貨","3次發包中"),IF(AF138&lt;&gt;"",IF(AP138&lt;&gt;"","到貨","2次發包中"),IF(AE138&lt;&gt;"",IF(AO138&lt;&gt;"","到貨","發包中"),"")))))</f>
        <v/>
      </c>
      <c r="AW138" s="86">
        <f>IF(OR($AW$6=Y138),$AW$6,"")</f>
        <v/>
      </c>
      <c r="AX138" s="87">
        <f t="array" ref="AX138">IF(OR(AV138:AW138={"到貨","庫存"}),"完成","")</f>
        <v/>
      </c>
      <c r="AY138" s="92">
        <f>E138*$M$1</f>
        <v/>
      </c>
    </row>
    <row r="139" outlineLevel="1" ht="14.25" customHeight="1">
      <c r="A139" s="43" t="n">
        <v>134</v>
      </c>
      <c r="B139" s="526" t="n"/>
      <c r="C139" s="393" t="n"/>
      <c r="D139" s="427" t="n"/>
      <c r="E139" s="526" t="n"/>
      <c r="F139" s="526" t="n"/>
      <c r="G139" s="527" t="n"/>
      <c r="H139" s="393" t="n"/>
      <c r="I139" s="528" t="n"/>
      <c r="J139" s="528" t="n"/>
      <c r="K139" s="528" t="n"/>
      <c r="L139" s="529" t="n"/>
      <c r="M139" s="529" t="n"/>
      <c r="N139" s="530" t="n"/>
      <c r="O139" s="531" t="n"/>
      <c r="P139" s="527" t="n"/>
      <c r="Q139" s="528" t="n"/>
      <c r="R139" s="528" t="n"/>
      <c r="S139" s="528" t="n"/>
      <c r="T139" s="543" t="n"/>
      <c r="U139" s="534" t="n"/>
      <c r="V139" s="516" t="n"/>
      <c r="W139" s="535" t="n"/>
      <c r="X139" s="536" t="n"/>
      <c r="Y139" s="519" t="n"/>
      <c r="Z139" s="683" t="n"/>
      <c r="AA139" s="684" t="n"/>
      <c r="AB139" s="684" t="n"/>
      <c r="AC139" s="684" t="n"/>
      <c r="AD139" s="685" t="n"/>
      <c r="AE139" s="686" t="n"/>
      <c r="AF139" s="684" t="n"/>
      <c r="AG139" s="687" t="n"/>
      <c r="AH139" s="687" t="n"/>
      <c r="AI139" s="684" t="n"/>
      <c r="AJ139" s="686" t="n"/>
      <c r="AK139" s="687" t="n"/>
      <c r="AL139" s="687" t="n"/>
      <c r="AM139" s="687" t="n"/>
      <c r="AN139" s="688" t="n"/>
      <c r="AO139" s="686" t="n"/>
      <c r="AP139" s="689" t="n"/>
      <c r="AQ139" s="689" t="n"/>
      <c r="AR139" s="689" t="n"/>
      <c r="AS139" s="690" t="n"/>
      <c r="AT139" s="691">
        <f>IF(AJ139&lt;&gt;"",(IF(AV139="到貨","",(AJ139-TODAY()))),"")</f>
        <v/>
      </c>
      <c r="AU139" s="692">
        <f>IF(AO139&lt;&gt;"",(AO139-AE139),"")</f>
        <v/>
      </c>
      <c r="AV139" s="86">
        <f>IF(AI139&lt;&gt;"",IF(AS139&lt;&gt;"","到貨","5次發包中"),IF(AH139&lt;&gt;"",IF(AR139&lt;&gt;"","到貨","4次發包中"),IF(AG139&lt;&gt;"",IF(AQ139&lt;&gt;"","到貨","3次發包中"),IF(AF139&lt;&gt;"",IF(AP139&lt;&gt;"","到貨","2次發包中"),IF(AE139&lt;&gt;"",IF(AO139&lt;&gt;"","到貨","發包中"),"")))))</f>
        <v/>
      </c>
      <c r="AW139" s="86">
        <f>IF(OR($AW$6=Y139),$AW$6,"")</f>
        <v/>
      </c>
      <c r="AX139" s="87">
        <f t="array" ref="AX139">IF(OR(AV139:AW139={"到貨","庫存"}),"完成","")</f>
        <v/>
      </c>
      <c r="AY139" s="92">
        <f>E139*$M$1</f>
        <v/>
      </c>
    </row>
    <row r="140" outlineLevel="1" ht="14.25" customHeight="1">
      <c r="A140" s="43" t="n">
        <v>135</v>
      </c>
      <c r="B140" s="526" t="n"/>
      <c r="C140" s="393" t="n"/>
      <c r="D140" s="427" t="n"/>
      <c r="E140" s="526" t="n"/>
      <c r="F140" s="526" t="n"/>
      <c r="G140" s="527" t="n"/>
      <c r="H140" s="393" t="n"/>
      <c r="I140" s="528" t="n"/>
      <c r="J140" s="528" t="n"/>
      <c r="K140" s="528" t="n"/>
      <c r="L140" s="529" t="n"/>
      <c r="M140" s="529" t="n"/>
      <c r="N140" s="530" t="n"/>
      <c r="O140" s="531" t="n"/>
      <c r="P140" s="527" t="n"/>
      <c r="Q140" s="528" t="n"/>
      <c r="R140" s="528" t="n"/>
      <c r="S140" s="528" t="n"/>
      <c r="T140" s="543" t="n"/>
      <c r="U140" s="534" t="n"/>
      <c r="V140" s="516" t="n"/>
      <c r="W140" s="535" t="n"/>
      <c r="X140" s="536" t="n"/>
      <c r="Y140" s="519" t="n"/>
      <c r="Z140" s="683" t="n"/>
      <c r="AA140" s="684" t="n"/>
      <c r="AB140" s="684" t="n"/>
      <c r="AC140" s="684" t="n"/>
      <c r="AD140" s="685" t="n"/>
      <c r="AE140" s="686" t="n"/>
      <c r="AF140" s="684" t="n"/>
      <c r="AG140" s="687" t="n"/>
      <c r="AH140" s="687" t="n"/>
      <c r="AI140" s="684" t="n"/>
      <c r="AJ140" s="686" t="n"/>
      <c r="AK140" s="687" t="n"/>
      <c r="AL140" s="687" t="n"/>
      <c r="AM140" s="687" t="n"/>
      <c r="AN140" s="688" t="n"/>
      <c r="AO140" s="686" t="n"/>
      <c r="AP140" s="689" t="n"/>
      <c r="AQ140" s="689" t="n"/>
      <c r="AR140" s="689" t="n"/>
      <c r="AS140" s="690" t="n"/>
      <c r="AT140" s="691">
        <f>IF(AJ140&lt;&gt;"",(IF(AV140="到貨","",(AJ140-TODAY()))),"")</f>
        <v/>
      </c>
      <c r="AU140" s="692">
        <f>IF(AO140&lt;&gt;"",(AO140-AE140),"")</f>
        <v/>
      </c>
      <c r="AV140" s="86">
        <f>IF(AI140&lt;&gt;"",IF(AS140&lt;&gt;"","到貨","5次發包中"),IF(AH140&lt;&gt;"",IF(AR140&lt;&gt;"","到貨","4次發包中"),IF(AG140&lt;&gt;"",IF(AQ140&lt;&gt;"","到貨","3次發包中"),IF(AF140&lt;&gt;"",IF(AP140&lt;&gt;"","到貨","2次發包中"),IF(AE140&lt;&gt;"",IF(AO140&lt;&gt;"","到貨","發包中"),"")))))</f>
        <v/>
      </c>
      <c r="AW140" s="86">
        <f>IF(OR($AW$6=Y140),$AW$6,"")</f>
        <v/>
      </c>
      <c r="AX140" s="87">
        <f t="array" ref="AX140">IF(OR(AV140:AW140={"到貨","庫存"}),"完成","")</f>
        <v/>
      </c>
      <c r="AY140" s="92">
        <f>E140*$M$1</f>
        <v/>
      </c>
    </row>
    <row r="141" outlineLevel="1" ht="14.25" customHeight="1">
      <c r="A141" s="43" t="n">
        <v>136</v>
      </c>
      <c r="B141" s="526" t="n"/>
      <c r="C141" s="393" t="n"/>
      <c r="D141" s="427" t="n"/>
      <c r="E141" s="526" t="n"/>
      <c r="F141" s="526" t="n"/>
      <c r="G141" s="527" t="n"/>
      <c r="H141" s="393" t="n"/>
      <c r="I141" s="528" t="n"/>
      <c r="J141" s="528" t="n"/>
      <c r="K141" s="528" t="n"/>
      <c r="L141" s="529" t="n"/>
      <c r="M141" s="529" t="n"/>
      <c r="N141" s="530" t="n"/>
      <c r="O141" s="531" t="n"/>
      <c r="P141" s="527" t="n"/>
      <c r="Q141" s="528" t="n"/>
      <c r="R141" s="528" t="n"/>
      <c r="S141" s="528" t="n"/>
      <c r="T141" s="543" t="n"/>
      <c r="U141" s="534" t="n"/>
      <c r="V141" s="516" t="n"/>
      <c r="W141" s="535" t="n"/>
      <c r="X141" s="536" t="n"/>
      <c r="Y141" s="519" t="n"/>
      <c r="Z141" s="683" t="n"/>
      <c r="AA141" s="684" t="n"/>
      <c r="AB141" s="684" t="n"/>
      <c r="AC141" s="684" t="n"/>
      <c r="AD141" s="685" t="n"/>
      <c r="AE141" s="686" t="n"/>
      <c r="AF141" s="684" t="n"/>
      <c r="AG141" s="687" t="n"/>
      <c r="AH141" s="687" t="n"/>
      <c r="AI141" s="684" t="n"/>
      <c r="AJ141" s="686" t="n"/>
      <c r="AK141" s="687" t="n"/>
      <c r="AL141" s="687" t="n"/>
      <c r="AM141" s="687" t="n"/>
      <c r="AN141" s="688" t="n"/>
      <c r="AO141" s="686" t="n"/>
      <c r="AP141" s="689" t="n"/>
      <c r="AQ141" s="689" t="n"/>
      <c r="AR141" s="689" t="n"/>
      <c r="AS141" s="690" t="n"/>
      <c r="AT141" s="691">
        <f>IF(AJ141&lt;&gt;"",(IF(AV141="到貨","",(AJ141-TODAY()))),"")</f>
        <v/>
      </c>
      <c r="AU141" s="692">
        <f>IF(AO141&lt;&gt;"",(AO141-AE141),"")</f>
        <v/>
      </c>
      <c r="AV141" s="86">
        <f>IF(AI141&lt;&gt;"",IF(AS141&lt;&gt;"","到貨","5次發包中"),IF(AH141&lt;&gt;"",IF(AR141&lt;&gt;"","到貨","4次發包中"),IF(AG141&lt;&gt;"",IF(AQ141&lt;&gt;"","到貨","3次發包中"),IF(AF141&lt;&gt;"",IF(AP141&lt;&gt;"","到貨","2次發包中"),IF(AE141&lt;&gt;"",IF(AO141&lt;&gt;"","到貨","發包中"),"")))))</f>
        <v/>
      </c>
      <c r="AW141" s="86">
        <f>IF(OR($AW$6=Y141),$AW$6,"")</f>
        <v/>
      </c>
      <c r="AX141" s="87">
        <f t="array" ref="AX141">IF(OR(AV141:AW141={"到貨","庫存"}),"完成","")</f>
        <v/>
      </c>
      <c r="AY141" s="92">
        <f>E141*$M$1</f>
        <v/>
      </c>
    </row>
    <row r="142" outlineLevel="1" ht="14.25" customHeight="1">
      <c r="A142" s="43" t="n">
        <v>137</v>
      </c>
      <c r="B142" s="526" t="n"/>
      <c r="C142" s="393" t="n"/>
      <c r="D142" s="427" t="n"/>
      <c r="E142" s="526" t="n"/>
      <c r="F142" s="526" t="n"/>
      <c r="G142" s="527" t="n"/>
      <c r="H142" s="393" t="n"/>
      <c r="I142" s="528" t="n"/>
      <c r="J142" s="528" t="n"/>
      <c r="K142" s="528" t="n"/>
      <c r="L142" s="529" t="n"/>
      <c r="M142" s="529" t="n"/>
      <c r="N142" s="530" t="n"/>
      <c r="O142" s="531" t="n"/>
      <c r="P142" s="527" t="n"/>
      <c r="Q142" s="528" t="n"/>
      <c r="R142" s="528" t="n"/>
      <c r="S142" s="528" t="n"/>
      <c r="T142" s="543" t="n"/>
      <c r="U142" s="534" t="n"/>
      <c r="V142" s="516" t="n"/>
      <c r="W142" s="535" t="n"/>
      <c r="X142" s="536" t="n"/>
      <c r="Y142" s="519" t="n"/>
      <c r="Z142" s="683" t="n"/>
      <c r="AA142" s="684" t="n"/>
      <c r="AB142" s="684" t="n"/>
      <c r="AC142" s="684" t="n"/>
      <c r="AD142" s="685" t="n"/>
      <c r="AE142" s="686" t="n"/>
      <c r="AF142" s="684" t="n"/>
      <c r="AG142" s="687" t="n"/>
      <c r="AH142" s="687" t="n"/>
      <c r="AI142" s="684" t="n"/>
      <c r="AJ142" s="686" t="n"/>
      <c r="AK142" s="687" t="n"/>
      <c r="AL142" s="687" t="n"/>
      <c r="AM142" s="687" t="n"/>
      <c r="AN142" s="688" t="n"/>
      <c r="AO142" s="686" t="n"/>
      <c r="AP142" s="689" t="n"/>
      <c r="AQ142" s="689" t="n"/>
      <c r="AR142" s="689" t="n"/>
      <c r="AS142" s="690" t="n"/>
      <c r="AT142" s="691">
        <f>IF(AJ142&lt;&gt;"",(IF(AV142="到貨","",(AJ142-TODAY()))),"")</f>
        <v/>
      </c>
      <c r="AU142" s="692">
        <f>IF(AO142&lt;&gt;"",(AO142-AE142),"")</f>
        <v/>
      </c>
      <c r="AV142" s="86">
        <f>IF(AI142&lt;&gt;"",IF(AS142&lt;&gt;"","到貨","5次發包中"),IF(AH142&lt;&gt;"",IF(AR142&lt;&gt;"","到貨","4次發包中"),IF(AG142&lt;&gt;"",IF(AQ142&lt;&gt;"","到貨","3次發包中"),IF(AF142&lt;&gt;"",IF(AP142&lt;&gt;"","到貨","2次發包中"),IF(AE142&lt;&gt;"",IF(AO142&lt;&gt;"","到貨","發包中"),"")))))</f>
        <v/>
      </c>
      <c r="AW142" s="86">
        <f>IF(OR($AW$6=Y142),$AW$6,"")</f>
        <v/>
      </c>
      <c r="AX142" s="87">
        <f t="array" ref="AX142">IF(OR(AV142:AW142={"到貨","庫存"}),"完成","")</f>
        <v/>
      </c>
      <c r="AY142" s="92">
        <f>E142*$M$1</f>
        <v/>
      </c>
    </row>
    <row r="143" outlineLevel="1" ht="14.25" customHeight="1">
      <c r="A143" s="43" t="n">
        <v>138</v>
      </c>
      <c r="B143" s="526" t="n"/>
      <c r="C143" s="393" t="n"/>
      <c r="D143" s="427" t="n"/>
      <c r="E143" s="526" t="n"/>
      <c r="F143" s="526" t="n"/>
      <c r="G143" s="527" t="n"/>
      <c r="H143" s="393" t="n"/>
      <c r="I143" s="528" t="n"/>
      <c r="J143" s="528" t="n"/>
      <c r="K143" s="528" t="n"/>
      <c r="L143" s="529" t="n"/>
      <c r="M143" s="529" t="n"/>
      <c r="N143" s="530" t="n"/>
      <c r="O143" s="531" t="n"/>
      <c r="P143" s="527" t="n"/>
      <c r="Q143" s="528" t="n"/>
      <c r="R143" s="528" t="n"/>
      <c r="S143" s="528" t="n"/>
      <c r="T143" s="543" t="n"/>
      <c r="U143" s="534" t="n"/>
      <c r="V143" s="516" t="n"/>
      <c r="W143" s="535" t="n"/>
      <c r="X143" s="536" t="n"/>
      <c r="Y143" s="519" t="n"/>
      <c r="Z143" s="683" t="n"/>
      <c r="AA143" s="684" t="n"/>
      <c r="AB143" s="684" t="n"/>
      <c r="AC143" s="684" t="n"/>
      <c r="AD143" s="685" t="n"/>
      <c r="AE143" s="686" t="n"/>
      <c r="AF143" s="684" t="n"/>
      <c r="AG143" s="687" t="n"/>
      <c r="AH143" s="687" t="n"/>
      <c r="AI143" s="684" t="n"/>
      <c r="AJ143" s="686" t="n"/>
      <c r="AK143" s="687" t="n"/>
      <c r="AL143" s="687" t="n"/>
      <c r="AM143" s="687" t="n"/>
      <c r="AN143" s="688" t="n"/>
      <c r="AO143" s="686" t="n"/>
      <c r="AP143" s="689" t="n"/>
      <c r="AQ143" s="689" t="n"/>
      <c r="AR143" s="689" t="n"/>
      <c r="AS143" s="690" t="n"/>
      <c r="AT143" s="691">
        <f>IF(AJ143&lt;&gt;"",(IF(AV143="到貨","",(AJ143-TODAY()))),"")</f>
        <v/>
      </c>
      <c r="AU143" s="692">
        <f>IF(AO143&lt;&gt;"",(AO143-AE143),"")</f>
        <v/>
      </c>
      <c r="AV143" s="86">
        <f>IF(AI143&lt;&gt;"",IF(AS143&lt;&gt;"","到貨","5次發包中"),IF(AH143&lt;&gt;"",IF(AR143&lt;&gt;"","到貨","4次發包中"),IF(AG143&lt;&gt;"",IF(AQ143&lt;&gt;"","到貨","3次發包中"),IF(AF143&lt;&gt;"",IF(AP143&lt;&gt;"","到貨","2次發包中"),IF(AE143&lt;&gt;"",IF(AO143&lt;&gt;"","到貨","發包中"),"")))))</f>
        <v/>
      </c>
      <c r="AW143" s="86">
        <f>IF(OR($AW$6=Y143),$AW$6,"")</f>
        <v/>
      </c>
      <c r="AX143" s="87">
        <f t="array" ref="AX143">IF(OR(AV143:AW143={"到貨","庫存"}),"完成","")</f>
        <v/>
      </c>
      <c r="AY143" s="92">
        <f>E143*$M$1</f>
        <v/>
      </c>
    </row>
    <row r="144" outlineLevel="1" ht="14.25" customHeight="1">
      <c r="A144" s="43" t="n">
        <v>139</v>
      </c>
      <c r="B144" s="526" t="n"/>
      <c r="C144" s="393" t="n"/>
      <c r="D144" s="427" t="n"/>
      <c r="E144" s="526" t="n"/>
      <c r="F144" s="526" t="n"/>
      <c r="G144" s="527" t="n"/>
      <c r="H144" s="393" t="n"/>
      <c r="I144" s="528" t="n"/>
      <c r="J144" s="528" t="n"/>
      <c r="K144" s="528" t="n"/>
      <c r="L144" s="529" t="n"/>
      <c r="M144" s="529" t="n"/>
      <c r="N144" s="530" t="n"/>
      <c r="O144" s="531" t="n"/>
      <c r="P144" s="527" t="n"/>
      <c r="Q144" s="528" t="n"/>
      <c r="R144" s="528" t="n"/>
      <c r="S144" s="528" t="n"/>
      <c r="T144" s="543" t="n"/>
      <c r="U144" s="534" t="n"/>
      <c r="V144" s="516" t="n"/>
      <c r="W144" s="535" t="n"/>
      <c r="X144" s="536" t="n"/>
      <c r="Y144" s="519" t="n"/>
      <c r="Z144" s="683" t="n"/>
      <c r="AA144" s="684" t="n"/>
      <c r="AB144" s="684" t="n"/>
      <c r="AC144" s="684" t="n"/>
      <c r="AD144" s="685" t="n"/>
      <c r="AE144" s="686" t="n"/>
      <c r="AF144" s="684" t="n"/>
      <c r="AG144" s="687" t="n"/>
      <c r="AH144" s="687" t="n"/>
      <c r="AI144" s="684" t="n"/>
      <c r="AJ144" s="686" t="n"/>
      <c r="AK144" s="687" t="n"/>
      <c r="AL144" s="687" t="n"/>
      <c r="AM144" s="687" t="n"/>
      <c r="AN144" s="688" t="n"/>
      <c r="AO144" s="686" t="n"/>
      <c r="AP144" s="689" t="n"/>
      <c r="AQ144" s="689" t="n"/>
      <c r="AR144" s="689" t="n"/>
      <c r="AS144" s="690" t="n"/>
      <c r="AT144" s="691">
        <f>IF(AJ144&lt;&gt;"",(IF(AV144="到貨","",(AJ144-TODAY()))),"")</f>
        <v/>
      </c>
      <c r="AU144" s="692">
        <f>IF(AO144&lt;&gt;"",(AO144-AE144),"")</f>
        <v/>
      </c>
      <c r="AV144" s="86">
        <f>IF(AI144&lt;&gt;"",IF(AS144&lt;&gt;"","到貨","5次發包中"),IF(AH144&lt;&gt;"",IF(AR144&lt;&gt;"","到貨","4次發包中"),IF(AG144&lt;&gt;"",IF(AQ144&lt;&gt;"","到貨","3次發包中"),IF(AF144&lt;&gt;"",IF(AP144&lt;&gt;"","到貨","2次發包中"),IF(AE144&lt;&gt;"",IF(AO144&lt;&gt;"","到貨","發包中"),"")))))</f>
        <v/>
      </c>
      <c r="AW144" s="86">
        <f>IF(OR($AW$6=Y144),$AW$6,"")</f>
        <v/>
      </c>
      <c r="AX144" s="87">
        <f t="array" ref="AX144">IF(OR(AV144:AW144={"到貨","庫存"}),"完成","")</f>
        <v/>
      </c>
      <c r="AY144" s="92">
        <f>E144*$M$1</f>
        <v/>
      </c>
    </row>
    <row r="145" outlineLevel="1" ht="14.25" customHeight="1">
      <c r="A145" s="43" t="n">
        <v>140</v>
      </c>
      <c r="B145" s="526" t="n"/>
      <c r="C145" s="393" t="n"/>
      <c r="D145" s="427" t="n"/>
      <c r="E145" s="526" t="n"/>
      <c r="F145" s="526" t="n"/>
      <c r="G145" s="527" t="n"/>
      <c r="H145" s="393" t="n"/>
      <c r="I145" s="528" t="n"/>
      <c r="J145" s="528" t="n"/>
      <c r="K145" s="528" t="n"/>
      <c r="L145" s="529" t="n"/>
      <c r="M145" s="529" t="n"/>
      <c r="N145" s="530" t="n"/>
      <c r="O145" s="531" t="n"/>
      <c r="P145" s="527" t="n"/>
      <c r="Q145" s="528" t="n"/>
      <c r="R145" s="528" t="n"/>
      <c r="S145" s="528" t="n"/>
      <c r="T145" s="543" t="n"/>
      <c r="U145" s="534" t="n"/>
      <c r="V145" s="516" t="n"/>
      <c r="W145" s="535" t="n"/>
      <c r="X145" s="536" t="n"/>
      <c r="Y145" s="519" t="n"/>
      <c r="Z145" s="683" t="n"/>
      <c r="AA145" s="684" t="n"/>
      <c r="AB145" s="684" t="n"/>
      <c r="AC145" s="684" t="n"/>
      <c r="AD145" s="685" t="n"/>
      <c r="AE145" s="686" t="n"/>
      <c r="AF145" s="684" t="n"/>
      <c r="AG145" s="687" t="n"/>
      <c r="AH145" s="687" t="n"/>
      <c r="AI145" s="684" t="n"/>
      <c r="AJ145" s="686" t="n"/>
      <c r="AK145" s="687" t="n"/>
      <c r="AL145" s="687" t="n"/>
      <c r="AM145" s="687" t="n"/>
      <c r="AN145" s="688" t="n"/>
      <c r="AO145" s="686" t="n"/>
      <c r="AP145" s="689" t="n"/>
      <c r="AQ145" s="689" t="n"/>
      <c r="AR145" s="689" t="n"/>
      <c r="AS145" s="690" t="n"/>
      <c r="AT145" s="691">
        <f>IF(AJ145&lt;&gt;"",(IF(AV145="到貨","",(AJ145-TODAY()))),"")</f>
        <v/>
      </c>
      <c r="AU145" s="692">
        <f>IF(AO145&lt;&gt;"",(AO145-AE145),"")</f>
        <v/>
      </c>
      <c r="AV145" s="86">
        <f>IF(AI145&lt;&gt;"",IF(AS145&lt;&gt;"","到貨","5次發包中"),IF(AH145&lt;&gt;"",IF(AR145&lt;&gt;"","到貨","4次發包中"),IF(AG145&lt;&gt;"",IF(AQ145&lt;&gt;"","到貨","3次發包中"),IF(AF145&lt;&gt;"",IF(AP145&lt;&gt;"","到貨","2次發包中"),IF(AE145&lt;&gt;"",IF(AO145&lt;&gt;"","到貨","發包中"),"")))))</f>
        <v/>
      </c>
      <c r="AW145" s="86">
        <f>IF(OR($AW$6=Y145),$AW$6,"")</f>
        <v/>
      </c>
      <c r="AX145" s="87">
        <f t="array" ref="AX145">IF(OR(AV145:AW145={"到貨","庫存"}),"完成","")</f>
        <v/>
      </c>
      <c r="AY145" s="92">
        <f>E145*$M$1</f>
        <v/>
      </c>
    </row>
    <row r="146" outlineLevel="1" ht="14.25" customHeight="1">
      <c r="A146" s="43" t="n">
        <v>141</v>
      </c>
      <c r="B146" s="526" t="n"/>
      <c r="C146" s="393" t="n"/>
      <c r="D146" s="427" t="n"/>
      <c r="E146" s="526" t="n"/>
      <c r="F146" s="526" t="n"/>
      <c r="G146" s="527" t="n"/>
      <c r="H146" s="393" t="n"/>
      <c r="I146" s="528" t="n"/>
      <c r="J146" s="528" t="n"/>
      <c r="K146" s="528" t="n"/>
      <c r="L146" s="529" t="n"/>
      <c r="M146" s="529" t="n"/>
      <c r="N146" s="530" t="n"/>
      <c r="O146" s="531" t="n"/>
      <c r="P146" s="527" t="n"/>
      <c r="Q146" s="528" t="n"/>
      <c r="R146" s="528" t="n"/>
      <c r="S146" s="528" t="n"/>
      <c r="T146" s="543" t="n"/>
      <c r="U146" s="534" t="n"/>
      <c r="V146" s="516" t="n"/>
      <c r="W146" s="535" t="n"/>
      <c r="X146" s="536" t="n"/>
      <c r="Y146" s="519" t="n"/>
      <c r="Z146" s="683" t="n"/>
      <c r="AA146" s="684" t="n"/>
      <c r="AB146" s="684" t="n"/>
      <c r="AC146" s="684" t="n"/>
      <c r="AD146" s="685" t="n"/>
      <c r="AE146" s="686" t="n"/>
      <c r="AF146" s="684" t="n"/>
      <c r="AG146" s="687" t="n"/>
      <c r="AH146" s="687" t="n"/>
      <c r="AI146" s="684" t="n"/>
      <c r="AJ146" s="686" t="n"/>
      <c r="AK146" s="687" t="n"/>
      <c r="AL146" s="687" t="n"/>
      <c r="AM146" s="687" t="n"/>
      <c r="AN146" s="688" t="n"/>
      <c r="AO146" s="686" t="n"/>
      <c r="AP146" s="689" t="n"/>
      <c r="AQ146" s="689" t="n"/>
      <c r="AR146" s="689" t="n"/>
      <c r="AS146" s="690" t="n"/>
      <c r="AT146" s="691">
        <f>IF(AJ146&lt;&gt;"",(IF(AV146="到貨","",(AJ146-TODAY()))),"")</f>
        <v/>
      </c>
      <c r="AU146" s="692">
        <f>IF(AO146&lt;&gt;"",(AO146-AE146),"")</f>
        <v/>
      </c>
      <c r="AV146" s="86">
        <f>IF(AI146&lt;&gt;"",IF(AS146&lt;&gt;"","到貨","5次發包中"),IF(AH146&lt;&gt;"",IF(AR146&lt;&gt;"","到貨","4次發包中"),IF(AG146&lt;&gt;"",IF(AQ146&lt;&gt;"","到貨","3次發包中"),IF(AF146&lt;&gt;"",IF(AP146&lt;&gt;"","到貨","2次發包中"),IF(AE146&lt;&gt;"",IF(AO146&lt;&gt;"","到貨","發包中"),"")))))</f>
        <v/>
      </c>
      <c r="AW146" s="86">
        <f>IF(OR($AW$6=Y146),$AW$6,"")</f>
        <v/>
      </c>
      <c r="AX146" s="87">
        <f t="array" ref="AX146">IF(OR(AV146:AW146={"到貨","庫存"}),"完成","")</f>
        <v/>
      </c>
      <c r="AY146" s="92">
        <f>E146*$M$1</f>
        <v/>
      </c>
    </row>
    <row r="147" outlineLevel="1" ht="14.25" customHeight="1">
      <c r="A147" s="43" t="n">
        <v>142</v>
      </c>
      <c r="B147" s="526" t="n"/>
      <c r="C147" s="393" t="n"/>
      <c r="D147" s="427" t="n"/>
      <c r="E147" s="526" t="n"/>
      <c r="F147" s="526" t="n"/>
      <c r="G147" s="527" t="n"/>
      <c r="H147" s="393" t="n"/>
      <c r="I147" s="528" t="n"/>
      <c r="J147" s="528" t="n"/>
      <c r="K147" s="528" t="n"/>
      <c r="L147" s="529" t="n"/>
      <c r="M147" s="529" t="n"/>
      <c r="N147" s="530" t="n"/>
      <c r="O147" s="531" t="n"/>
      <c r="P147" s="527" t="n"/>
      <c r="Q147" s="528" t="n"/>
      <c r="R147" s="528" t="n"/>
      <c r="S147" s="528" t="n"/>
      <c r="T147" s="543" t="n"/>
      <c r="U147" s="534" t="n"/>
      <c r="V147" s="516" t="n"/>
      <c r="W147" s="535" t="n"/>
      <c r="X147" s="536" t="n"/>
      <c r="Y147" s="519" t="n"/>
      <c r="Z147" s="683" t="n"/>
      <c r="AA147" s="684" t="n"/>
      <c r="AB147" s="684" t="n"/>
      <c r="AC147" s="684" t="n"/>
      <c r="AD147" s="685" t="n"/>
      <c r="AE147" s="686" t="n"/>
      <c r="AF147" s="684" t="n"/>
      <c r="AG147" s="687" t="n"/>
      <c r="AH147" s="687" t="n"/>
      <c r="AI147" s="684" t="n"/>
      <c r="AJ147" s="686" t="n"/>
      <c r="AK147" s="687" t="n"/>
      <c r="AL147" s="687" t="n"/>
      <c r="AM147" s="687" t="n"/>
      <c r="AN147" s="688" t="n"/>
      <c r="AO147" s="686" t="n"/>
      <c r="AP147" s="689" t="n"/>
      <c r="AQ147" s="689" t="n"/>
      <c r="AR147" s="689" t="n"/>
      <c r="AS147" s="690" t="n"/>
      <c r="AT147" s="691">
        <f>IF(AJ147&lt;&gt;"",(IF(AV147="到貨","",(AJ147-TODAY()))),"")</f>
        <v/>
      </c>
      <c r="AU147" s="692">
        <f>IF(AO147&lt;&gt;"",(AO147-AE147),"")</f>
        <v/>
      </c>
      <c r="AV147" s="86">
        <f>IF(AI147&lt;&gt;"",IF(AS147&lt;&gt;"","到貨","5次發包中"),IF(AH147&lt;&gt;"",IF(AR147&lt;&gt;"","到貨","4次發包中"),IF(AG147&lt;&gt;"",IF(AQ147&lt;&gt;"","到貨","3次發包中"),IF(AF147&lt;&gt;"",IF(AP147&lt;&gt;"","到貨","2次發包中"),IF(AE147&lt;&gt;"",IF(AO147&lt;&gt;"","到貨","發包中"),"")))))</f>
        <v/>
      </c>
      <c r="AW147" s="86">
        <f>IF(OR($AW$6=Y147),$AW$6,"")</f>
        <v/>
      </c>
      <c r="AX147" s="87">
        <f t="array" ref="AX147">IF(OR(AV147:AW147={"到貨","庫存"}),"完成","")</f>
        <v/>
      </c>
      <c r="AY147" s="92">
        <f>E147*$M$1</f>
        <v/>
      </c>
    </row>
    <row r="148" outlineLevel="1" ht="14.25" customHeight="1">
      <c r="A148" s="43" t="n">
        <v>143</v>
      </c>
      <c r="B148" s="526" t="n"/>
      <c r="C148" s="393" t="n"/>
      <c r="D148" s="427" t="n"/>
      <c r="E148" s="526" t="n"/>
      <c r="F148" s="526" t="n"/>
      <c r="G148" s="527" t="n"/>
      <c r="H148" s="393" t="n"/>
      <c r="I148" s="528" t="n"/>
      <c r="J148" s="528" t="n"/>
      <c r="K148" s="528" t="n"/>
      <c r="L148" s="529" t="n"/>
      <c r="M148" s="529" t="n"/>
      <c r="N148" s="530" t="n"/>
      <c r="O148" s="531" t="n"/>
      <c r="P148" s="527" t="n"/>
      <c r="Q148" s="528" t="n"/>
      <c r="R148" s="528" t="n"/>
      <c r="S148" s="528" t="n"/>
      <c r="T148" s="543" t="n"/>
      <c r="U148" s="534" t="n"/>
      <c r="V148" s="516" t="n"/>
      <c r="W148" s="535" t="n"/>
      <c r="X148" s="536" t="n"/>
      <c r="Y148" s="519" t="n"/>
      <c r="Z148" s="683" t="n"/>
      <c r="AA148" s="684" t="n"/>
      <c r="AB148" s="684" t="n"/>
      <c r="AC148" s="684" t="n"/>
      <c r="AD148" s="685" t="n"/>
      <c r="AE148" s="686" t="n"/>
      <c r="AF148" s="684" t="n"/>
      <c r="AG148" s="687" t="n"/>
      <c r="AH148" s="687" t="n"/>
      <c r="AI148" s="684" t="n"/>
      <c r="AJ148" s="686" t="n"/>
      <c r="AK148" s="687" t="n"/>
      <c r="AL148" s="687" t="n"/>
      <c r="AM148" s="687" t="n"/>
      <c r="AN148" s="688" t="n"/>
      <c r="AO148" s="686" t="n"/>
      <c r="AP148" s="689" t="n"/>
      <c r="AQ148" s="689" t="n"/>
      <c r="AR148" s="689" t="n"/>
      <c r="AS148" s="690" t="n"/>
      <c r="AT148" s="691">
        <f>IF(AJ148&lt;&gt;"",(IF(AV148="到貨","",(AJ148-TODAY()))),"")</f>
        <v/>
      </c>
      <c r="AU148" s="692">
        <f>IF(AO148&lt;&gt;"",(AO148-AE148),"")</f>
        <v/>
      </c>
      <c r="AV148" s="86">
        <f>IF(AI148&lt;&gt;"",IF(AS148&lt;&gt;"","到貨","5次發包中"),IF(AH148&lt;&gt;"",IF(AR148&lt;&gt;"","到貨","4次發包中"),IF(AG148&lt;&gt;"",IF(AQ148&lt;&gt;"","到貨","3次發包中"),IF(AF148&lt;&gt;"",IF(AP148&lt;&gt;"","到貨","2次發包中"),IF(AE148&lt;&gt;"",IF(AO148&lt;&gt;"","到貨","發包中"),"")))))</f>
        <v/>
      </c>
      <c r="AW148" s="86">
        <f>IF(OR($AW$6=Y148),$AW$6,"")</f>
        <v/>
      </c>
      <c r="AX148" s="87">
        <f t="array" ref="AX148">IF(OR(AV148:AW148={"到貨","庫存"}),"完成","")</f>
        <v/>
      </c>
      <c r="AY148" s="92">
        <f>E148*$M$1</f>
        <v/>
      </c>
    </row>
    <row r="149" outlineLevel="1" ht="14.25" customHeight="1">
      <c r="A149" s="43" t="n">
        <v>144</v>
      </c>
      <c r="B149" s="526" t="n"/>
      <c r="C149" s="393" t="n"/>
      <c r="D149" s="427" t="n"/>
      <c r="E149" s="526" t="n"/>
      <c r="F149" s="526" t="n"/>
      <c r="G149" s="527" t="n"/>
      <c r="H149" s="393" t="n"/>
      <c r="I149" s="528" t="n"/>
      <c r="J149" s="528" t="n"/>
      <c r="K149" s="528" t="n"/>
      <c r="L149" s="529" t="n"/>
      <c r="M149" s="529" t="n"/>
      <c r="N149" s="530" t="n"/>
      <c r="O149" s="531" t="n"/>
      <c r="P149" s="527" t="n"/>
      <c r="Q149" s="528" t="n"/>
      <c r="R149" s="528" t="n"/>
      <c r="S149" s="528" t="n"/>
      <c r="T149" s="543" t="n"/>
      <c r="U149" s="534" t="n"/>
      <c r="V149" s="516" t="n"/>
      <c r="W149" s="535" t="n"/>
      <c r="X149" s="536" t="n"/>
      <c r="Y149" s="519" t="n"/>
      <c r="Z149" s="683" t="n"/>
      <c r="AA149" s="684" t="n"/>
      <c r="AB149" s="684" t="n"/>
      <c r="AC149" s="684" t="n"/>
      <c r="AD149" s="685" t="n"/>
      <c r="AE149" s="686" t="n"/>
      <c r="AF149" s="684" t="n"/>
      <c r="AG149" s="687" t="n"/>
      <c r="AH149" s="687" t="n"/>
      <c r="AI149" s="684" t="n"/>
      <c r="AJ149" s="686" t="n"/>
      <c r="AK149" s="687" t="n"/>
      <c r="AL149" s="687" t="n"/>
      <c r="AM149" s="687" t="n"/>
      <c r="AN149" s="688" t="n"/>
      <c r="AO149" s="686" t="n"/>
      <c r="AP149" s="689" t="n"/>
      <c r="AQ149" s="689" t="n"/>
      <c r="AR149" s="689" t="n"/>
      <c r="AS149" s="690" t="n"/>
      <c r="AT149" s="691">
        <f>IF(AJ149&lt;&gt;"",(IF(AV149="到貨","",(AJ149-TODAY()))),"")</f>
        <v/>
      </c>
      <c r="AU149" s="692">
        <f>IF(AO149&lt;&gt;"",(AO149-AE149),"")</f>
        <v/>
      </c>
      <c r="AV149" s="86">
        <f>IF(AI149&lt;&gt;"",IF(AS149&lt;&gt;"","到貨","5次發包中"),IF(AH149&lt;&gt;"",IF(AR149&lt;&gt;"","到貨","4次發包中"),IF(AG149&lt;&gt;"",IF(AQ149&lt;&gt;"","到貨","3次發包中"),IF(AF149&lt;&gt;"",IF(AP149&lt;&gt;"","到貨","2次發包中"),IF(AE149&lt;&gt;"",IF(AO149&lt;&gt;"","到貨","發包中"),"")))))</f>
        <v/>
      </c>
      <c r="AW149" s="86">
        <f>IF(OR($AW$6=Y149),$AW$6,"")</f>
        <v/>
      </c>
      <c r="AX149" s="87">
        <f t="array" ref="AX149">IF(OR(AV149:AW149={"到貨","庫存"}),"完成","")</f>
        <v/>
      </c>
      <c r="AY149" s="92">
        <f>E149*$M$1</f>
        <v/>
      </c>
    </row>
    <row r="150" outlineLevel="1" ht="14.25" customHeight="1">
      <c r="A150" s="43" t="n">
        <v>145</v>
      </c>
      <c r="B150" s="526" t="n"/>
      <c r="C150" s="393" t="n"/>
      <c r="D150" s="427" t="n"/>
      <c r="E150" s="526" t="n"/>
      <c r="F150" s="526" t="n"/>
      <c r="G150" s="527" t="n"/>
      <c r="H150" s="393" t="n"/>
      <c r="I150" s="528" t="n"/>
      <c r="J150" s="528" t="n"/>
      <c r="K150" s="528" t="n"/>
      <c r="L150" s="529" t="n"/>
      <c r="M150" s="529" t="n"/>
      <c r="N150" s="530" t="n"/>
      <c r="O150" s="531" t="n"/>
      <c r="P150" s="527" t="n"/>
      <c r="Q150" s="528" t="n"/>
      <c r="R150" s="528" t="n"/>
      <c r="S150" s="528" t="n"/>
      <c r="T150" s="543" t="n"/>
      <c r="U150" s="534" t="n"/>
      <c r="V150" s="516" t="n"/>
      <c r="W150" s="535" t="n"/>
      <c r="X150" s="536" t="n"/>
      <c r="Y150" s="519" t="n"/>
      <c r="Z150" s="683" t="n"/>
      <c r="AA150" s="684" t="n"/>
      <c r="AB150" s="684" t="n"/>
      <c r="AC150" s="684" t="n"/>
      <c r="AD150" s="685" t="n"/>
      <c r="AE150" s="686" t="n"/>
      <c r="AF150" s="684" t="n"/>
      <c r="AG150" s="687" t="n"/>
      <c r="AH150" s="687" t="n"/>
      <c r="AI150" s="684" t="n"/>
      <c r="AJ150" s="686" t="n"/>
      <c r="AK150" s="687" t="n"/>
      <c r="AL150" s="687" t="n"/>
      <c r="AM150" s="687" t="n"/>
      <c r="AN150" s="688" t="n"/>
      <c r="AO150" s="686" t="n"/>
      <c r="AP150" s="689" t="n"/>
      <c r="AQ150" s="689" t="n"/>
      <c r="AR150" s="689" t="n"/>
      <c r="AS150" s="690" t="n"/>
      <c r="AT150" s="691">
        <f>IF(AJ150&lt;&gt;"",(IF(AV150="到貨","",(AJ150-TODAY()))),"")</f>
        <v/>
      </c>
      <c r="AU150" s="692">
        <f>IF(AO150&lt;&gt;"",(AO150-AE150),"")</f>
        <v/>
      </c>
      <c r="AV150" s="86">
        <f>IF(AI150&lt;&gt;"",IF(AS150&lt;&gt;"","到貨","5次發包中"),IF(AH150&lt;&gt;"",IF(AR150&lt;&gt;"","到貨","4次發包中"),IF(AG150&lt;&gt;"",IF(AQ150&lt;&gt;"","到貨","3次發包中"),IF(AF150&lt;&gt;"",IF(AP150&lt;&gt;"","到貨","2次發包中"),IF(AE150&lt;&gt;"",IF(AO150&lt;&gt;"","到貨","發包中"),"")))))</f>
        <v/>
      </c>
      <c r="AW150" s="86">
        <f>IF(OR($AW$6=Y150),$AW$6,"")</f>
        <v/>
      </c>
      <c r="AX150" s="87">
        <f t="array" ref="AX150">IF(OR(AV150:AW150={"到貨","庫存"}),"完成","")</f>
        <v/>
      </c>
      <c r="AY150" s="92">
        <f>E150*$M$1</f>
        <v/>
      </c>
    </row>
    <row r="151" outlineLevel="1" ht="14.25" customHeight="1">
      <c r="A151" s="43" t="n">
        <v>146</v>
      </c>
      <c r="B151" s="526" t="n"/>
      <c r="C151" s="393" t="n"/>
      <c r="D151" s="427" t="n"/>
      <c r="E151" s="526" t="n"/>
      <c r="F151" s="526" t="n"/>
      <c r="G151" s="527" t="n"/>
      <c r="H151" s="393" t="n"/>
      <c r="I151" s="528" t="n"/>
      <c r="J151" s="528" t="n"/>
      <c r="K151" s="528" t="n"/>
      <c r="L151" s="529" t="n"/>
      <c r="M151" s="529" t="n"/>
      <c r="N151" s="530" t="n"/>
      <c r="O151" s="531" t="n"/>
      <c r="P151" s="527" t="n"/>
      <c r="Q151" s="528" t="n"/>
      <c r="R151" s="528" t="n"/>
      <c r="S151" s="528" t="n"/>
      <c r="T151" s="543" t="n"/>
      <c r="U151" s="534" t="n"/>
      <c r="V151" s="516" t="n"/>
      <c r="W151" s="535" t="n"/>
      <c r="X151" s="536" t="n"/>
      <c r="Y151" s="519" t="n"/>
      <c r="Z151" s="683" t="n"/>
      <c r="AA151" s="684" t="n"/>
      <c r="AB151" s="684" t="n"/>
      <c r="AC151" s="684" t="n"/>
      <c r="AD151" s="685" t="n"/>
      <c r="AE151" s="686" t="n"/>
      <c r="AF151" s="684" t="n"/>
      <c r="AG151" s="687" t="n"/>
      <c r="AH151" s="687" t="n"/>
      <c r="AI151" s="684" t="n"/>
      <c r="AJ151" s="686" t="n"/>
      <c r="AK151" s="687" t="n"/>
      <c r="AL151" s="687" t="n"/>
      <c r="AM151" s="687" t="n"/>
      <c r="AN151" s="688" t="n"/>
      <c r="AO151" s="686" t="n"/>
      <c r="AP151" s="689" t="n"/>
      <c r="AQ151" s="689" t="n"/>
      <c r="AR151" s="689" t="n"/>
      <c r="AS151" s="690" t="n"/>
      <c r="AT151" s="691">
        <f>IF(AJ151&lt;&gt;"",(IF(AV151="到貨","",(AJ151-TODAY()))),"")</f>
        <v/>
      </c>
      <c r="AU151" s="692">
        <f>IF(AO151&lt;&gt;"",(AO151-AE151),"")</f>
        <v/>
      </c>
      <c r="AV151" s="86">
        <f>IF(AI151&lt;&gt;"",IF(AS151&lt;&gt;"","到貨","5次發包中"),IF(AH151&lt;&gt;"",IF(AR151&lt;&gt;"","到貨","4次發包中"),IF(AG151&lt;&gt;"",IF(AQ151&lt;&gt;"","到貨","3次發包中"),IF(AF151&lt;&gt;"",IF(AP151&lt;&gt;"","到貨","2次發包中"),IF(AE151&lt;&gt;"",IF(AO151&lt;&gt;"","到貨","發包中"),"")))))</f>
        <v/>
      </c>
      <c r="AW151" s="86">
        <f>IF(OR($AW$6=Y151),$AW$6,"")</f>
        <v/>
      </c>
      <c r="AX151" s="87">
        <f t="array" ref="AX151">IF(OR(AV151:AW151={"到貨","庫存"}),"完成","")</f>
        <v/>
      </c>
      <c r="AY151" s="92">
        <f>E151*$M$1</f>
        <v/>
      </c>
    </row>
    <row r="152" outlineLevel="1" ht="14.25" customHeight="1">
      <c r="A152" s="43" t="n">
        <v>147</v>
      </c>
      <c r="B152" s="526" t="n"/>
      <c r="C152" s="393" t="n"/>
      <c r="D152" s="427" t="n"/>
      <c r="E152" s="526" t="n"/>
      <c r="F152" s="526" t="n"/>
      <c r="G152" s="527" t="n"/>
      <c r="H152" s="393" t="n"/>
      <c r="I152" s="528" t="n"/>
      <c r="J152" s="528" t="n"/>
      <c r="K152" s="528" t="n"/>
      <c r="L152" s="529" t="n"/>
      <c r="M152" s="529" t="n"/>
      <c r="N152" s="530" t="n"/>
      <c r="O152" s="531" t="n"/>
      <c r="P152" s="527" t="n"/>
      <c r="Q152" s="528" t="n"/>
      <c r="R152" s="528" t="n"/>
      <c r="S152" s="528" t="n"/>
      <c r="T152" s="543" t="n"/>
      <c r="U152" s="534" t="n"/>
      <c r="V152" s="516" t="n"/>
      <c r="W152" s="535" t="n"/>
      <c r="X152" s="536" t="n"/>
      <c r="Y152" s="519" t="n"/>
      <c r="Z152" s="683" t="n"/>
      <c r="AA152" s="684" t="n"/>
      <c r="AB152" s="684" t="n"/>
      <c r="AC152" s="684" t="n"/>
      <c r="AD152" s="685" t="n"/>
      <c r="AE152" s="686" t="n"/>
      <c r="AF152" s="684" t="n"/>
      <c r="AG152" s="687" t="n"/>
      <c r="AH152" s="687" t="n"/>
      <c r="AI152" s="684" t="n"/>
      <c r="AJ152" s="686" t="n"/>
      <c r="AK152" s="687" t="n"/>
      <c r="AL152" s="687" t="n"/>
      <c r="AM152" s="687" t="n"/>
      <c r="AN152" s="688" t="n"/>
      <c r="AO152" s="686" t="n"/>
      <c r="AP152" s="689" t="n"/>
      <c r="AQ152" s="689" t="n"/>
      <c r="AR152" s="689" t="n"/>
      <c r="AS152" s="690" t="n"/>
      <c r="AT152" s="691">
        <f>IF(AJ152&lt;&gt;"",(IF(AV152="到貨","",(AJ152-TODAY()))),"")</f>
        <v/>
      </c>
      <c r="AU152" s="692">
        <f>IF(AO152&lt;&gt;"",(AO152-AE152),"")</f>
        <v/>
      </c>
      <c r="AV152" s="86">
        <f>IF(AI152&lt;&gt;"",IF(AS152&lt;&gt;"","到貨","5次發包中"),IF(AH152&lt;&gt;"",IF(AR152&lt;&gt;"","到貨","4次發包中"),IF(AG152&lt;&gt;"",IF(AQ152&lt;&gt;"","到貨","3次發包中"),IF(AF152&lt;&gt;"",IF(AP152&lt;&gt;"","到貨","2次發包中"),IF(AE152&lt;&gt;"",IF(AO152&lt;&gt;"","到貨","發包中"),"")))))</f>
        <v/>
      </c>
      <c r="AW152" s="86">
        <f>IF(OR($AW$6=Y152),$AW$6,"")</f>
        <v/>
      </c>
      <c r="AX152" s="87">
        <f t="array" ref="AX152">IF(OR(AV152:AW152={"到貨","庫存"}),"完成","")</f>
        <v/>
      </c>
      <c r="AY152" s="92">
        <f>E152*$M$1</f>
        <v/>
      </c>
    </row>
    <row r="153" outlineLevel="1" ht="14.25" customHeight="1">
      <c r="A153" s="43" t="n">
        <v>148</v>
      </c>
      <c r="B153" s="526" t="n"/>
      <c r="C153" s="393" t="n"/>
      <c r="D153" s="427" t="n"/>
      <c r="E153" s="526" t="n"/>
      <c r="F153" s="526" t="n"/>
      <c r="G153" s="527" t="n"/>
      <c r="H153" s="393" t="n"/>
      <c r="I153" s="528" t="n"/>
      <c r="J153" s="528" t="n"/>
      <c r="K153" s="528" t="n"/>
      <c r="L153" s="529" t="n"/>
      <c r="M153" s="529" t="n"/>
      <c r="N153" s="530" t="n"/>
      <c r="O153" s="531" t="n"/>
      <c r="P153" s="527" t="n"/>
      <c r="Q153" s="528" t="n"/>
      <c r="R153" s="528" t="n"/>
      <c r="S153" s="528" t="n"/>
      <c r="T153" s="543" t="n"/>
      <c r="U153" s="534" t="n"/>
      <c r="V153" s="516" t="n"/>
      <c r="W153" s="535" t="n"/>
      <c r="X153" s="536" t="n"/>
      <c r="Y153" s="519" t="n"/>
      <c r="Z153" s="683" t="n"/>
      <c r="AA153" s="684" t="n"/>
      <c r="AB153" s="684" t="n"/>
      <c r="AC153" s="684" t="n"/>
      <c r="AD153" s="685" t="n"/>
      <c r="AE153" s="686" t="n"/>
      <c r="AF153" s="684" t="n"/>
      <c r="AG153" s="687" t="n"/>
      <c r="AH153" s="687" t="n"/>
      <c r="AI153" s="684" t="n"/>
      <c r="AJ153" s="686" t="n"/>
      <c r="AK153" s="687" t="n"/>
      <c r="AL153" s="687" t="n"/>
      <c r="AM153" s="687" t="n"/>
      <c r="AN153" s="688" t="n"/>
      <c r="AO153" s="686" t="n"/>
      <c r="AP153" s="689" t="n"/>
      <c r="AQ153" s="689" t="n"/>
      <c r="AR153" s="689" t="n"/>
      <c r="AS153" s="690" t="n"/>
      <c r="AT153" s="691">
        <f>IF(AJ153&lt;&gt;"",(IF(AV153="到貨","",(AJ153-TODAY()))),"")</f>
        <v/>
      </c>
      <c r="AU153" s="692">
        <f>IF(AO153&lt;&gt;"",(AO153-AE153),"")</f>
        <v/>
      </c>
      <c r="AV153" s="86">
        <f>IF(AI153&lt;&gt;"",IF(AS153&lt;&gt;"","到貨","5次發包中"),IF(AH153&lt;&gt;"",IF(AR153&lt;&gt;"","到貨","4次發包中"),IF(AG153&lt;&gt;"",IF(AQ153&lt;&gt;"","到貨","3次發包中"),IF(AF153&lt;&gt;"",IF(AP153&lt;&gt;"","到貨","2次發包中"),IF(AE153&lt;&gt;"",IF(AO153&lt;&gt;"","到貨","發包中"),"")))))</f>
        <v/>
      </c>
      <c r="AW153" s="86">
        <f>IF(OR($AW$6=Y153),$AW$6,"")</f>
        <v/>
      </c>
      <c r="AX153" s="87">
        <f t="array" ref="AX153">IF(OR(AV153:AW153={"到貨","庫存"}),"完成","")</f>
        <v/>
      </c>
      <c r="AY153" s="92">
        <f>E153*$M$1</f>
        <v/>
      </c>
    </row>
    <row r="154" outlineLevel="1" ht="14.25" customHeight="1">
      <c r="A154" s="43" t="n">
        <v>149</v>
      </c>
      <c r="B154" s="526" t="n"/>
      <c r="C154" s="393" t="n"/>
      <c r="D154" s="427" t="n"/>
      <c r="E154" s="526" t="n"/>
      <c r="F154" s="526" t="n"/>
      <c r="G154" s="527" t="n"/>
      <c r="H154" s="393" t="n"/>
      <c r="I154" s="528" t="n"/>
      <c r="J154" s="528" t="n"/>
      <c r="K154" s="528" t="n"/>
      <c r="L154" s="529" t="n"/>
      <c r="M154" s="529" t="n"/>
      <c r="N154" s="530" t="n"/>
      <c r="O154" s="531" t="n"/>
      <c r="P154" s="527" t="n"/>
      <c r="Q154" s="528" t="n"/>
      <c r="R154" s="528" t="n"/>
      <c r="S154" s="528" t="n"/>
      <c r="T154" s="543" t="n"/>
      <c r="U154" s="534" t="n"/>
      <c r="V154" s="516" t="n"/>
      <c r="W154" s="535" t="n"/>
      <c r="X154" s="536" t="n"/>
      <c r="Y154" s="519" t="n"/>
      <c r="Z154" s="683" t="n"/>
      <c r="AA154" s="684" t="n"/>
      <c r="AB154" s="684" t="n"/>
      <c r="AC154" s="684" t="n"/>
      <c r="AD154" s="685" t="n"/>
      <c r="AE154" s="686" t="n"/>
      <c r="AF154" s="684" t="n"/>
      <c r="AG154" s="687" t="n"/>
      <c r="AH154" s="687" t="n"/>
      <c r="AI154" s="684" t="n"/>
      <c r="AJ154" s="686" t="n"/>
      <c r="AK154" s="687" t="n"/>
      <c r="AL154" s="687" t="n"/>
      <c r="AM154" s="687" t="n"/>
      <c r="AN154" s="688" t="n"/>
      <c r="AO154" s="686" t="n"/>
      <c r="AP154" s="689" t="n"/>
      <c r="AQ154" s="689" t="n"/>
      <c r="AR154" s="689" t="n"/>
      <c r="AS154" s="690" t="n"/>
      <c r="AT154" s="691">
        <f>IF(AJ154&lt;&gt;"",(IF(AV154="到貨","",(AJ154-TODAY()))),"")</f>
        <v/>
      </c>
      <c r="AU154" s="692">
        <f>IF(AO154&lt;&gt;"",(AO154-AE154),"")</f>
        <v/>
      </c>
      <c r="AV154" s="86">
        <f>IF(AI154&lt;&gt;"",IF(AS154&lt;&gt;"","到貨","5次發包中"),IF(AH154&lt;&gt;"",IF(AR154&lt;&gt;"","到貨","4次發包中"),IF(AG154&lt;&gt;"",IF(AQ154&lt;&gt;"","到貨","3次發包中"),IF(AF154&lt;&gt;"",IF(AP154&lt;&gt;"","到貨","2次發包中"),IF(AE154&lt;&gt;"",IF(AO154&lt;&gt;"","到貨","發包中"),"")))))</f>
        <v/>
      </c>
      <c r="AW154" s="86">
        <f>IF(OR($AW$6=Y154),$AW$6,"")</f>
        <v/>
      </c>
      <c r="AX154" s="87">
        <f t="array" ref="AX154">IF(OR(AV154:AW154={"到貨","庫存"}),"完成","")</f>
        <v/>
      </c>
      <c r="AY154" s="92">
        <f>E154*$M$1</f>
        <v/>
      </c>
    </row>
    <row r="155" outlineLevel="1" ht="14.25" customHeight="1">
      <c r="A155" s="43" t="n">
        <v>150</v>
      </c>
      <c r="B155" s="526" t="n"/>
      <c r="C155" s="393" t="n"/>
      <c r="D155" s="427" t="n"/>
      <c r="E155" s="526" t="n"/>
      <c r="F155" s="526" t="n"/>
      <c r="G155" s="527" t="n"/>
      <c r="H155" s="393" t="n"/>
      <c r="I155" s="528" t="n"/>
      <c r="J155" s="528" t="n"/>
      <c r="K155" s="528" t="n"/>
      <c r="L155" s="529" t="n"/>
      <c r="M155" s="529" t="n"/>
      <c r="N155" s="530" t="n"/>
      <c r="O155" s="531" t="n"/>
      <c r="P155" s="527" t="n"/>
      <c r="Q155" s="528" t="n"/>
      <c r="R155" s="528" t="n"/>
      <c r="S155" s="528" t="n"/>
      <c r="T155" s="543" t="n"/>
      <c r="U155" s="534" t="n"/>
      <c r="V155" s="516" t="n"/>
      <c r="W155" s="535" t="n"/>
      <c r="X155" s="536" t="n"/>
      <c r="Y155" s="519" t="n"/>
      <c r="Z155" s="683" t="n"/>
      <c r="AA155" s="684" t="n"/>
      <c r="AB155" s="684" t="n"/>
      <c r="AC155" s="684" t="n"/>
      <c r="AD155" s="685" t="n"/>
      <c r="AE155" s="686" t="n"/>
      <c r="AF155" s="684" t="n"/>
      <c r="AG155" s="687" t="n"/>
      <c r="AH155" s="687" t="n"/>
      <c r="AI155" s="684" t="n"/>
      <c r="AJ155" s="686" t="n"/>
      <c r="AK155" s="687" t="n"/>
      <c r="AL155" s="687" t="n"/>
      <c r="AM155" s="687" t="n"/>
      <c r="AN155" s="688" t="n"/>
      <c r="AO155" s="686" t="n"/>
      <c r="AP155" s="689" t="n"/>
      <c r="AQ155" s="689" t="n"/>
      <c r="AR155" s="689" t="n"/>
      <c r="AS155" s="690" t="n"/>
      <c r="AT155" s="691">
        <f>IF(AJ155&lt;&gt;"",(IF(AV155="到貨","",(AJ155-TODAY()))),"")</f>
        <v/>
      </c>
      <c r="AU155" s="692">
        <f>IF(AO155&lt;&gt;"",(AO155-AE155),"")</f>
        <v/>
      </c>
      <c r="AV155" s="86">
        <f>IF(AI155&lt;&gt;"",IF(AS155&lt;&gt;"","到貨","5次發包中"),IF(AH155&lt;&gt;"",IF(AR155&lt;&gt;"","到貨","4次發包中"),IF(AG155&lt;&gt;"",IF(AQ155&lt;&gt;"","到貨","3次發包中"),IF(AF155&lt;&gt;"",IF(AP155&lt;&gt;"","到貨","2次發包中"),IF(AE155&lt;&gt;"",IF(AO155&lt;&gt;"","到貨","發包中"),"")))))</f>
        <v/>
      </c>
      <c r="AW155" s="86">
        <f>IF(OR($AW$6=Y155),$AW$6,"")</f>
        <v/>
      </c>
      <c r="AX155" s="87">
        <f t="array" ref="AX155">IF(OR(AV155:AW155={"到貨","庫存"}),"完成","")</f>
        <v/>
      </c>
      <c r="AY155" s="92">
        <f>E155*$M$1</f>
        <v/>
      </c>
    </row>
    <row r="156" outlineLevel="1" ht="14.25" customHeight="1">
      <c r="A156" s="43" t="n">
        <v>151</v>
      </c>
      <c r="B156" s="526" t="n"/>
      <c r="C156" s="393" t="n"/>
      <c r="D156" s="427" t="n"/>
      <c r="E156" s="526" t="n"/>
      <c r="F156" s="526" t="n"/>
      <c r="G156" s="527" t="n"/>
      <c r="H156" s="393" t="n"/>
      <c r="I156" s="528" t="n"/>
      <c r="J156" s="528" t="n"/>
      <c r="K156" s="528" t="n"/>
      <c r="L156" s="529" t="n"/>
      <c r="M156" s="529" t="n"/>
      <c r="N156" s="530" t="n"/>
      <c r="O156" s="531" t="n"/>
      <c r="P156" s="527" t="n"/>
      <c r="Q156" s="528" t="n"/>
      <c r="R156" s="528" t="n"/>
      <c r="S156" s="528" t="n"/>
      <c r="T156" s="543" t="n"/>
      <c r="U156" s="534" t="n"/>
      <c r="V156" s="516" t="n"/>
      <c r="W156" s="535" t="n"/>
      <c r="X156" s="536" t="n"/>
      <c r="Y156" s="519" t="n"/>
      <c r="Z156" s="683" t="n"/>
      <c r="AA156" s="684" t="n"/>
      <c r="AB156" s="684" t="n"/>
      <c r="AC156" s="684" t="n"/>
      <c r="AD156" s="685" t="n"/>
      <c r="AE156" s="686" t="n"/>
      <c r="AF156" s="684" t="n"/>
      <c r="AG156" s="687" t="n"/>
      <c r="AH156" s="687" t="n"/>
      <c r="AI156" s="684" t="n"/>
      <c r="AJ156" s="686" t="n"/>
      <c r="AK156" s="687" t="n"/>
      <c r="AL156" s="687" t="n"/>
      <c r="AM156" s="687" t="n"/>
      <c r="AN156" s="688" t="n"/>
      <c r="AO156" s="686" t="n"/>
      <c r="AP156" s="689" t="n"/>
      <c r="AQ156" s="689" t="n"/>
      <c r="AR156" s="689" t="n"/>
      <c r="AS156" s="690" t="n"/>
      <c r="AT156" s="691">
        <f>IF(AJ156&lt;&gt;"",(IF(AV156="到貨","",(AJ156-TODAY()))),"")</f>
        <v/>
      </c>
      <c r="AU156" s="692">
        <f>IF(AO156&lt;&gt;"",(AO156-AE156),"")</f>
        <v/>
      </c>
      <c r="AV156" s="86">
        <f>IF(AI156&lt;&gt;"",IF(AS156&lt;&gt;"","到貨","5次發包中"),IF(AH156&lt;&gt;"",IF(AR156&lt;&gt;"","到貨","4次發包中"),IF(AG156&lt;&gt;"",IF(AQ156&lt;&gt;"","到貨","3次發包中"),IF(AF156&lt;&gt;"",IF(AP156&lt;&gt;"","到貨","2次發包中"),IF(AE156&lt;&gt;"",IF(AO156&lt;&gt;"","到貨","發包中"),"")))))</f>
        <v/>
      </c>
      <c r="AW156" s="86">
        <f>IF(OR($AW$6=Y156),$AW$6,"")</f>
        <v/>
      </c>
      <c r="AX156" s="87">
        <f t="array" ref="AX156">IF(OR(AV156:AW156={"到貨","庫存"}),"完成","")</f>
        <v/>
      </c>
      <c r="AY156" s="92">
        <f>E156*$M$1</f>
        <v/>
      </c>
    </row>
    <row r="157" outlineLevel="1" ht="14.25" customHeight="1">
      <c r="A157" s="43" t="n">
        <v>152</v>
      </c>
      <c r="B157" s="526" t="n"/>
      <c r="C157" s="393" t="n"/>
      <c r="D157" s="427" t="n"/>
      <c r="E157" s="526" t="n"/>
      <c r="F157" s="526" t="n"/>
      <c r="G157" s="527" t="n"/>
      <c r="H157" s="393" t="n"/>
      <c r="I157" s="528" t="n"/>
      <c r="J157" s="528" t="n"/>
      <c r="K157" s="528" t="n"/>
      <c r="L157" s="529" t="n"/>
      <c r="M157" s="529" t="n"/>
      <c r="N157" s="530" t="n"/>
      <c r="O157" s="531" t="n"/>
      <c r="P157" s="527" t="n"/>
      <c r="Q157" s="528" t="n"/>
      <c r="R157" s="528" t="n"/>
      <c r="S157" s="528" t="n"/>
      <c r="T157" s="543" t="n"/>
      <c r="U157" s="534" t="n"/>
      <c r="V157" s="516" t="n"/>
      <c r="W157" s="535" t="n"/>
      <c r="X157" s="536" t="n"/>
      <c r="Y157" s="519" t="n"/>
      <c r="Z157" s="683" t="n"/>
      <c r="AA157" s="684" t="n"/>
      <c r="AB157" s="684" t="n"/>
      <c r="AC157" s="684" t="n"/>
      <c r="AD157" s="685" t="n"/>
      <c r="AE157" s="686" t="n"/>
      <c r="AF157" s="684" t="n"/>
      <c r="AG157" s="687" t="n"/>
      <c r="AH157" s="687" t="n"/>
      <c r="AI157" s="684" t="n"/>
      <c r="AJ157" s="686" t="n"/>
      <c r="AK157" s="687" t="n"/>
      <c r="AL157" s="687" t="n"/>
      <c r="AM157" s="687" t="n"/>
      <c r="AN157" s="688" t="n"/>
      <c r="AO157" s="686" t="n"/>
      <c r="AP157" s="689" t="n"/>
      <c r="AQ157" s="689" t="n"/>
      <c r="AR157" s="689" t="n"/>
      <c r="AS157" s="690" t="n"/>
      <c r="AT157" s="691">
        <f>IF(AJ157&lt;&gt;"",(IF(AV157="到貨","",(AJ157-TODAY()))),"")</f>
        <v/>
      </c>
      <c r="AU157" s="692">
        <f>IF(AO157&lt;&gt;"",(AO157-AE157),"")</f>
        <v/>
      </c>
      <c r="AV157" s="86">
        <f>IF(AI157&lt;&gt;"",IF(AS157&lt;&gt;"","到貨","5次發包中"),IF(AH157&lt;&gt;"",IF(AR157&lt;&gt;"","到貨","4次發包中"),IF(AG157&lt;&gt;"",IF(AQ157&lt;&gt;"","到貨","3次發包中"),IF(AF157&lt;&gt;"",IF(AP157&lt;&gt;"","到貨","2次發包中"),IF(AE157&lt;&gt;"",IF(AO157&lt;&gt;"","到貨","發包中"),"")))))</f>
        <v/>
      </c>
      <c r="AW157" s="86">
        <f>IF(OR($AW$6=Y157),$AW$6,"")</f>
        <v/>
      </c>
      <c r="AX157" s="87">
        <f t="array" ref="AX157">IF(OR(AV157:AW157={"到貨","庫存"}),"完成","")</f>
        <v/>
      </c>
      <c r="AY157" s="92">
        <f>E157*$M$1</f>
        <v/>
      </c>
    </row>
    <row r="158" outlineLevel="1" ht="14.25" customHeight="1">
      <c r="A158" s="43" t="n">
        <v>153</v>
      </c>
      <c r="B158" s="526" t="n"/>
      <c r="C158" s="393" t="n"/>
      <c r="D158" s="427" t="n"/>
      <c r="E158" s="526" t="n"/>
      <c r="F158" s="526" t="n"/>
      <c r="G158" s="527" t="n"/>
      <c r="H158" s="393" t="n"/>
      <c r="I158" s="528" t="n"/>
      <c r="J158" s="528" t="n"/>
      <c r="K158" s="528" t="n"/>
      <c r="L158" s="529" t="n"/>
      <c r="M158" s="529" t="n"/>
      <c r="N158" s="530" t="n"/>
      <c r="O158" s="531" t="n"/>
      <c r="P158" s="527" t="n"/>
      <c r="Q158" s="528" t="n"/>
      <c r="R158" s="528" t="n"/>
      <c r="S158" s="528" t="n"/>
      <c r="T158" s="543" t="n"/>
      <c r="U158" s="534" t="n"/>
      <c r="V158" s="516" t="n"/>
      <c r="W158" s="535" t="n"/>
      <c r="X158" s="536" t="n"/>
      <c r="Y158" s="519" t="n"/>
      <c r="Z158" s="683" t="n"/>
      <c r="AA158" s="684" t="n"/>
      <c r="AB158" s="684" t="n"/>
      <c r="AC158" s="684" t="n"/>
      <c r="AD158" s="685" t="n"/>
      <c r="AE158" s="686" t="n"/>
      <c r="AF158" s="684" t="n"/>
      <c r="AG158" s="687" t="n"/>
      <c r="AH158" s="687" t="n"/>
      <c r="AI158" s="684" t="n"/>
      <c r="AJ158" s="686" t="n"/>
      <c r="AK158" s="687" t="n"/>
      <c r="AL158" s="687" t="n"/>
      <c r="AM158" s="687" t="n"/>
      <c r="AN158" s="688" t="n"/>
      <c r="AO158" s="686" t="n"/>
      <c r="AP158" s="689" t="n"/>
      <c r="AQ158" s="689" t="n"/>
      <c r="AR158" s="689" t="n"/>
      <c r="AS158" s="690" t="n"/>
      <c r="AT158" s="691">
        <f>IF(AJ158&lt;&gt;"",(IF(AV158="到貨","",(AJ158-TODAY()))),"")</f>
        <v/>
      </c>
      <c r="AU158" s="692">
        <f>IF(AO158&lt;&gt;"",(AO158-AE158),"")</f>
        <v/>
      </c>
      <c r="AV158" s="86">
        <f>IF(AI158&lt;&gt;"",IF(AS158&lt;&gt;"","到貨","5次發包中"),IF(AH158&lt;&gt;"",IF(AR158&lt;&gt;"","到貨","4次發包中"),IF(AG158&lt;&gt;"",IF(AQ158&lt;&gt;"","到貨","3次發包中"),IF(AF158&lt;&gt;"",IF(AP158&lt;&gt;"","到貨","2次發包中"),IF(AE158&lt;&gt;"",IF(AO158&lt;&gt;"","到貨","發包中"),"")))))</f>
        <v/>
      </c>
      <c r="AW158" s="86">
        <f>IF(OR($AW$6=Y158),$AW$6,"")</f>
        <v/>
      </c>
      <c r="AX158" s="87">
        <f t="array" ref="AX158">IF(OR(AV158:AW158={"到貨","庫存"}),"完成","")</f>
        <v/>
      </c>
      <c r="AY158" s="92">
        <f>E158*$M$1</f>
        <v/>
      </c>
    </row>
    <row r="159" outlineLevel="1" ht="14.25" customHeight="1">
      <c r="A159" s="43" t="n">
        <v>154</v>
      </c>
      <c r="B159" s="526" t="n"/>
      <c r="C159" s="393" t="n"/>
      <c r="D159" s="427" t="n"/>
      <c r="E159" s="526" t="n"/>
      <c r="F159" s="526" t="n"/>
      <c r="G159" s="527" t="n"/>
      <c r="H159" s="393" t="n"/>
      <c r="I159" s="528" t="n"/>
      <c r="J159" s="528" t="n"/>
      <c r="K159" s="528" t="n"/>
      <c r="L159" s="529" t="n"/>
      <c r="M159" s="529" t="n"/>
      <c r="N159" s="530" t="n"/>
      <c r="O159" s="531" t="n"/>
      <c r="P159" s="527" t="n"/>
      <c r="Q159" s="528" t="n"/>
      <c r="R159" s="528" t="n"/>
      <c r="S159" s="528" t="n"/>
      <c r="T159" s="543" t="n"/>
      <c r="U159" s="534" t="n"/>
      <c r="V159" s="516" t="n"/>
      <c r="W159" s="535" t="n"/>
      <c r="X159" s="536" t="n"/>
      <c r="Y159" s="519" t="n"/>
      <c r="Z159" s="683" t="n"/>
      <c r="AA159" s="684" t="n"/>
      <c r="AB159" s="684" t="n"/>
      <c r="AC159" s="684" t="n"/>
      <c r="AD159" s="685" t="n"/>
      <c r="AE159" s="686" t="n"/>
      <c r="AF159" s="684" t="n"/>
      <c r="AG159" s="687" t="n"/>
      <c r="AH159" s="687" t="n"/>
      <c r="AI159" s="684" t="n"/>
      <c r="AJ159" s="686" t="n"/>
      <c r="AK159" s="687" t="n"/>
      <c r="AL159" s="687" t="n"/>
      <c r="AM159" s="687" t="n"/>
      <c r="AN159" s="688" t="n"/>
      <c r="AO159" s="686" t="n"/>
      <c r="AP159" s="689" t="n"/>
      <c r="AQ159" s="689" t="n"/>
      <c r="AR159" s="689" t="n"/>
      <c r="AS159" s="690" t="n"/>
      <c r="AT159" s="691">
        <f>IF(AJ159&lt;&gt;"",(IF(AV159="到貨","",(AJ159-TODAY()))),"")</f>
        <v/>
      </c>
      <c r="AU159" s="692">
        <f>IF(AO159&lt;&gt;"",(AO159-AE159),"")</f>
        <v/>
      </c>
      <c r="AV159" s="86">
        <f>IF(AI159&lt;&gt;"",IF(AS159&lt;&gt;"","到貨","5次發包中"),IF(AH159&lt;&gt;"",IF(AR159&lt;&gt;"","到貨","4次發包中"),IF(AG159&lt;&gt;"",IF(AQ159&lt;&gt;"","到貨","3次發包中"),IF(AF159&lt;&gt;"",IF(AP159&lt;&gt;"","到貨","2次發包中"),IF(AE159&lt;&gt;"",IF(AO159&lt;&gt;"","到貨","發包中"),"")))))</f>
        <v/>
      </c>
      <c r="AW159" s="86">
        <f>IF(OR($AW$6=Y159),$AW$6,"")</f>
        <v/>
      </c>
      <c r="AX159" s="87">
        <f t="array" ref="AX159">IF(OR(AV159:AW159={"到貨","庫存"}),"完成","")</f>
        <v/>
      </c>
      <c r="AY159" s="92">
        <f>E159*$M$1</f>
        <v/>
      </c>
    </row>
    <row r="160" outlineLevel="1" ht="14.25" customHeight="1">
      <c r="A160" s="43" t="n">
        <v>155</v>
      </c>
      <c r="B160" s="526" t="n"/>
      <c r="C160" s="393" t="n"/>
      <c r="D160" s="427" t="n"/>
      <c r="E160" s="526" t="n"/>
      <c r="F160" s="526" t="n"/>
      <c r="G160" s="527" t="n"/>
      <c r="H160" s="393" t="n"/>
      <c r="I160" s="528" t="n"/>
      <c r="J160" s="528" t="n"/>
      <c r="K160" s="528" t="n"/>
      <c r="L160" s="529" t="n"/>
      <c r="M160" s="529" t="n"/>
      <c r="N160" s="530" t="n"/>
      <c r="O160" s="531" t="n"/>
      <c r="P160" s="527" t="n"/>
      <c r="Q160" s="528" t="n"/>
      <c r="R160" s="528" t="n"/>
      <c r="S160" s="528" t="n"/>
      <c r="T160" s="543" t="n"/>
      <c r="U160" s="534" t="n"/>
      <c r="V160" s="516" t="n"/>
      <c r="W160" s="535" t="n"/>
      <c r="X160" s="536" t="n"/>
      <c r="Y160" s="519" t="n"/>
      <c r="Z160" s="683" t="n"/>
      <c r="AA160" s="684" t="n"/>
      <c r="AB160" s="684" t="n"/>
      <c r="AC160" s="684" t="n"/>
      <c r="AD160" s="685" t="n"/>
      <c r="AE160" s="686" t="n"/>
      <c r="AF160" s="684" t="n"/>
      <c r="AG160" s="687" t="n"/>
      <c r="AH160" s="687" t="n"/>
      <c r="AI160" s="684" t="n"/>
      <c r="AJ160" s="686" t="n"/>
      <c r="AK160" s="687" t="n"/>
      <c r="AL160" s="687" t="n"/>
      <c r="AM160" s="687" t="n"/>
      <c r="AN160" s="688" t="n"/>
      <c r="AO160" s="686" t="n"/>
      <c r="AP160" s="689" t="n"/>
      <c r="AQ160" s="689" t="n"/>
      <c r="AR160" s="689" t="n"/>
      <c r="AS160" s="690" t="n"/>
      <c r="AT160" s="691">
        <f>IF(AJ160&lt;&gt;"",(IF(AV160="到貨","",(AJ160-TODAY()))),"")</f>
        <v/>
      </c>
      <c r="AU160" s="692">
        <f>IF(AO160&lt;&gt;"",(AO160-AE160),"")</f>
        <v/>
      </c>
      <c r="AV160" s="86">
        <f>IF(AI160&lt;&gt;"",IF(AS160&lt;&gt;"","到貨","5次發包中"),IF(AH160&lt;&gt;"",IF(AR160&lt;&gt;"","到貨","4次發包中"),IF(AG160&lt;&gt;"",IF(AQ160&lt;&gt;"","到貨","3次發包中"),IF(AF160&lt;&gt;"",IF(AP160&lt;&gt;"","到貨","2次發包中"),IF(AE160&lt;&gt;"",IF(AO160&lt;&gt;"","到貨","發包中"),"")))))</f>
        <v/>
      </c>
      <c r="AW160" s="86">
        <f>IF(OR($AW$6=Y160),$AW$6,"")</f>
        <v/>
      </c>
      <c r="AX160" s="87">
        <f t="array" ref="AX160">IF(OR(AV160:AW160={"到貨","庫存"}),"完成","")</f>
        <v/>
      </c>
      <c r="AY160" s="92">
        <f>E160*$M$1</f>
        <v/>
      </c>
    </row>
    <row r="161" outlineLevel="1" ht="14.25" customHeight="1">
      <c r="A161" s="43" t="n">
        <v>156</v>
      </c>
      <c r="B161" s="526" t="n"/>
      <c r="C161" s="393" t="n"/>
      <c r="D161" s="427" t="n"/>
      <c r="E161" s="526" t="n"/>
      <c r="F161" s="526" t="n"/>
      <c r="G161" s="527" t="n"/>
      <c r="H161" s="393" t="n"/>
      <c r="I161" s="528" t="n"/>
      <c r="J161" s="528" t="n"/>
      <c r="K161" s="528" t="n"/>
      <c r="L161" s="529" t="n"/>
      <c r="M161" s="529" t="n"/>
      <c r="N161" s="530" t="n"/>
      <c r="O161" s="531" t="n"/>
      <c r="P161" s="527" t="n"/>
      <c r="Q161" s="528" t="n"/>
      <c r="R161" s="528" t="n"/>
      <c r="S161" s="528" t="n"/>
      <c r="T161" s="543" t="n"/>
      <c r="U161" s="534" t="n"/>
      <c r="V161" s="516" t="n"/>
      <c r="W161" s="535" t="n"/>
      <c r="X161" s="536" t="n"/>
      <c r="Y161" s="519" t="n"/>
      <c r="Z161" s="683" t="n"/>
      <c r="AA161" s="684" t="n"/>
      <c r="AB161" s="684" t="n"/>
      <c r="AC161" s="684" t="n"/>
      <c r="AD161" s="685" t="n"/>
      <c r="AE161" s="686" t="n"/>
      <c r="AF161" s="684" t="n"/>
      <c r="AG161" s="687" t="n"/>
      <c r="AH161" s="687" t="n"/>
      <c r="AI161" s="684" t="n"/>
      <c r="AJ161" s="686" t="n"/>
      <c r="AK161" s="687" t="n"/>
      <c r="AL161" s="687" t="n"/>
      <c r="AM161" s="687" t="n"/>
      <c r="AN161" s="688" t="n"/>
      <c r="AO161" s="686" t="n"/>
      <c r="AP161" s="689" t="n"/>
      <c r="AQ161" s="689" t="n"/>
      <c r="AR161" s="689" t="n"/>
      <c r="AS161" s="690" t="n"/>
      <c r="AT161" s="691">
        <f>IF(AJ161&lt;&gt;"",(IF(AV161="到貨","",(AJ161-TODAY()))),"")</f>
        <v/>
      </c>
      <c r="AU161" s="692">
        <f>IF(AO161&lt;&gt;"",(AO161-AE161),"")</f>
        <v/>
      </c>
      <c r="AV161" s="86">
        <f>IF(AI161&lt;&gt;"",IF(AS161&lt;&gt;"","到貨","5次發包中"),IF(AH161&lt;&gt;"",IF(AR161&lt;&gt;"","到貨","4次發包中"),IF(AG161&lt;&gt;"",IF(AQ161&lt;&gt;"","到貨","3次發包中"),IF(AF161&lt;&gt;"",IF(AP161&lt;&gt;"","到貨","2次發包中"),IF(AE161&lt;&gt;"",IF(AO161&lt;&gt;"","到貨","發包中"),"")))))</f>
        <v/>
      </c>
      <c r="AW161" s="86">
        <f>IF(OR($AW$6=Y161),$AW$6,"")</f>
        <v/>
      </c>
      <c r="AX161" s="87">
        <f t="array" ref="AX161">IF(OR(AV161:AW161={"到貨","庫存"}),"完成","")</f>
        <v/>
      </c>
      <c r="AY161" s="92">
        <f>E161*$M$1</f>
        <v/>
      </c>
    </row>
    <row r="162" outlineLevel="1" ht="14.25" customHeight="1">
      <c r="A162" s="43" t="n">
        <v>157</v>
      </c>
      <c r="B162" s="526" t="n"/>
      <c r="C162" s="393" t="n"/>
      <c r="D162" s="427" t="n"/>
      <c r="E162" s="526" t="n"/>
      <c r="F162" s="526" t="n"/>
      <c r="G162" s="527" t="n"/>
      <c r="H162" s="393" t="n"/>
      <c r="I162" s="528" t="n"/>
      <c r="J162" s="528" t="n"/>
      <c r="K162" s="528" t="n"/>
      <c r="L162" s="529" t="n"/>
      <c r="M162" s="529" t="n"/>
      <c r="N162" s="530" t="n"/>
      <c r="O162" s="531" t="n"/>
      <c r="P162" s="527" t="n"/>
      <c r="Q162" s="528" t="n"/>
      <c r="R162" s="528" t="n"/>
      <c r="S162" s="528" t="n"/>
      <c r="T162" s="543" t="n"/>
      <c r="U162" s="534" t="n"/>
      <c r="V162" s="516" t="n"/>
      <c r="W162" s="535" t="n"/>
      <c r="X162" s="536" t="n"/>
      <c r="Y162" s="519" t="n"/>
      <c r="Z162" s="683" t="n"/>
      <c r="AA162" s="684" t="n"/>
      <c r="AB162" s="684" t="n"/>
      <c r="AC162" s="684" t="n"/>
      <c r="AD162" s="685" t="n"/>
      <c r="AE162" s="686" t="n"/>
      <c r="AF162" s="684" t="n"/>
      <c r="AG162" s="687" t="n"/>
      <c r="AH162" s="687" t="n"/>
      <c r="AI162" s="684" t="n"/>
      <c r="AJ162" s="686" t="n"/>
      <c r="AK162" s="687" t="n"/>
      <c r="AL162" s="687" t="n"/>
      <c r="AM162" s="687" t="n"/>
      <c r="AN162" s="688" t="n"/>
      <c r="AO162" s="686" t="n"/>
      <c r="AP162" s="689" t="n"/>
      <c r="AQ162" s="689" t="n"/>
      <c r="AR162" s="689" t="n"/>
      <c r="AS162" s="690" t="n"/>
      <c r="AT162" s="691">
        <f>IF(AJ162&lt;&gt;"",(IF(AV162="到貨","",(AJ162-TODAY()))),"")</f>
        <v/>
      </c>
      <c r="AU162" s="692">
        <f>IF(AO162&lt;&gt;"",(AO162-AE162),"")</f>
        <v/>
      </c>
      <c r="AV162" s="86">
        <f>IF(AI162&lt;&gt;"",IF(AS162&lt;&gt;"","到貨","5次發包中"),IF(AH162&lt;&gt;"",IF(AR162&lt;&gt;"","到貨","4次發包中"),IF(AG162&lt;&gt;"",IF(AQ162&lt;&gt;"","到貨","3次發包中"),IF(AF162&lt;&gt;"",IF(AP162&lt;&gt;"","到貨","2次發包中"),IF(AE162&lt;&gt;"",IF(AO162&lt;&gt;"","到貨","發包中"),"")))))</f>
        <v/>
      </c>
      <c r="AW162" s="86">
        <f>IF(OR($AW$6=Y162),$AW$6,"")</f>
        <v/>
      </c>
      <c r="AX162" s="87">
        <f t="array" ref="AX162">IF(OR(AV162:AW162={"到貨","庫存"}),"完成","")</f>
        <v/>
      </c>
      <c r="AY162" s="92">
        <f>E162*$M$1</f>
        <v/>
      </c>
    </row>
    <row r="163" outlineLevel="1" ht="14.25" customHeight="1">
      <c r="A163" s="43" t="n">
        <v>158</v>
      </c>
      <c r="B163" s="526" t="n"/>
      <c r="C163" s="393" t="n"/>
      <c r="D163" s="427" t="n"/>
      <c r="E163" s="526" t="n"/>
      <c r="F163" s="526" t="n"/>
      <c r="G163" s="527" t="n"/>
      <c r="H163" s="393" t="n"/>
      <c r="I163" s="528" t="n"/>
      <c r="J163" s="528" t="n"/>
      <c r="K163" s="528" t="n"/>
      <c r="L163" s="529" t="n"/>
      <c r="M163" s="529" t="n"/>
      <c r="N163" s="530" t="n"/>
      <c r="O163" s="531" t="n"/>
      <c r="P163" s="527" t="n"/>
      <c r="Q163" s="528" t="n"/>
      <c r="R163" s="528" t="n"/>
      <c r="S163" s="528" t="n"/>
      <c r="T163" s="543" t="n"/>
      <c r="U163" s="534" t="n"/>
      <c r="V163" s="516" t="n"/>
      <c r="W163" s="535" t="n"/>
      <c r="X163" s="536" t="n"/>
      <c r="Y163" s="519" t="n"/>
      <c r="Z163" s="683" t="n"/>
      <c r="AA163" s="684" t="n"/>
      <c r="AB163" s="684" t="n"/>
      <c r="AC163" s="684" t="n"/>
      <c r="AD163" s="685" t="n"/>
      <c r="AE163" s="686" t="n"/>
      <c r="AF163" s="684" t="n"/>
      <c r="AG163" s="687" t="n"/>
      <c r="AH163" s="687" t="n"/>
      <c r="AI163" s="684" t="n"/>
      <c r="AJ163" s="686" t="n"/>
      <c r="AK163" s="687" t="n"/>
      <c r="AL163" s="687" t="n"/>
      <c r="AM163" s="687" t="n"/>
      <c r="AN163" s="688" t="n"/>
      <c r="AO163" s="686" t="n"/>
      <c r="AP163" s="689" t="n"/>
      <c r="AQ163" s="689" t="n"/>
      <c r="AR163" s="689" t="n"/>
      <c r="AS163" s="690" t="n"/>
      <c r="AT163" s="691">
        <f>IF(AJ163&lt;&gt;"",(IF(AV163="到貨","",(AJ163-TODAY()))),"")</f>
        <v/>
      </c>
      <c r="AU163" s="692">
        <f>IF(AO163&lt;&gt;"",(AO163-AE163),"")</f>
        <v/>
      </c>
      <c r="AV163" s="86">
        <f>IF(AI163&lt;&gt;"",IF(AS163&lt;&gt;"","到貨","5次發包中"),IF(AH163&lt;&gt;"",IF(AR163&lt;&gt;"","到貨","4次發包中"),IF(AG163&lt;&gt;"",IF(AQ163&lt;&gt;"","到貨","3次發包中"),IF(AF163&lt;&gt;"",IF(AP163&lt;&gt;"","到貨","2次發包中"),IF(AE163&lt;&gt;"",IF(AO163&lt;&gt;"","到貨","發包中"),"")))))</f>
        <v/>
      </c>
      <c r="AW163" s="86">
        <f>IF(OR($AW$6=Y163),$AW$6,"")</f>
        <v/>
      </c>
      <c r="AX163" s="87">
        <f t="array" ref="AX163">IF(OR(AV163:AW163={"到貨","庫存"}),"完成","")</f>
        <v/>
      </c>
      <c r="AY163" s="92">
        <f>E163*$M$1</f>
        <v/>
      </c>
    </row>
    <row r="164" outlineLevel="1" ht="14.25" customHeight="1">
      <c r="A164" s="43" t="n">
        <v>159</v>
      </c>
      <c r="B164" s="526" t="n"/>
      <c r="C164" s="393" t="n"/>
      <c r="D164" s="427" t="n"/>
      <c r="E164" s="526" t="n"/>
      <c r="F164" s="526" t="n"/>
      <c r="G164" s="527" t="n"/>
      <c r="H164" s="393" t="n"/>
      <c r="I164" s="528" t="n"/>
      <c r="J164" s="528" t="n"/>
      <c r="K164" s="528" t="n"/>
      <c r="L164" s="529" t="n"/>
      <c r="M164" s="529" t="n"/>
      <c r="N164" s="530" t="n"/>
      <c r="O164" s="531" t="n"/>
      <c r="P164" s="527" t="n"/>
      <c r="Q164" s="528" t="n"/>
      <c r="R164" s="528" t="n"/>
      <c r="S164" s="528" t="n"/>
      <c r="T164" s="543" t="n"/>
      <c r="U164" s="534" t="n"/>
      <c r="V164" s="516" t="n"/>
      <c r="W164" s="535" t="n"/>
      <c r="X164" s="536" t="n"/>
      <c r="Y164" s="519" t="n"/>
      <c r="Z164" s="683" t="n"/>
      <c r="AA164" s="684" t="n"/>
      <c r="AB164" s="684" t="n"/>
      <c r="AC164" s="684" t="n"/>
      <c r="AD164" s="685" t="n"/>
      <c r="AE164" s="686" t="n"/>
      <c r="AF164" s="684" t="n"/>
      <c r="AG164" s="687" t="n"/>
      <c r="AH164" s="687" t="n"/>
      <c r="AI164" s="684" t="n"/>
      <c r="AJ164" s="686" t="n"/>
      <c r="AK164" s="687" t="n"/>
      <c r="AL164" s="687" t="n"/>
      <c r="AM164" s="687" t="n"/>
      <c r="AN164" s="688" t="n"/>
      <c r="AO164" s="686" t="n"/>
      <c r="AP164" s="689" t="n"/>
      <c r="AQ164" s="689" t="n"/>
      <c r="AR164" s="689" t="n"/>
      <c r="AS164" s="690" t="n"/>
      <c r="AT164" s="691">
        <f>IF(AJ164&lt;&gt;"",(IF(AV164="到貨","",(AJ164-TODAY()))),"")</f>
        <v/>
      </c>
      <c r="AU164" s="692">
        <f>IF(AO164&lt;&gt;"",(AO164-AE164),"")</f>
        <v/>
      </c>
      <c r="AV164" s="86">
        <f>IF(AI164&lt;&gt;"",IF(AS164&lt;&gt;"","到貨","5次發包中"),IF(AH164&lt;&gt;"",IF(AR164&lt;&gt;"","到貨","4次發包中"),IF(AG164&lt;&gt;"",IF(AQ164&lt;&gt;"","到貨","3次發包中"),IF(AF164&lt;&gt;"",IF(AP164&lt;&gt;"","到貨","2次發包中"),IF(AE164&lt;&gt;"",IF(AO164&lt;&gt;"","到貨","發包中"),"")))))</f>
        <v/>
      </c>
      <c r="AW164" s="86">
        <f>IF(OR($AW$6=Y164),$AW$6,"")</f>
        <v/>
      </c>
      <c r="AX164" s="87">
        <f t="array" ref="AX164">IF(OR(AV164:AW164={"到貨","庫存"}),"完成","")</f>
        <v/>
      </c>
      <c r="AY164" s="92">
        <f>E164*$M$1</f>
        <v/>
      </c>
    </row>
    <row r="165" outlineLevel="1" ht="14.25" customHeight="1">
      <c r="A165" s="43" t="n">
        <v>160</v>
      </c>
      <c r="B165" s="526" t="n"/>
      <c r="C165" s="393" t="n"/>
      <c r="D165" s="427" t="n"/>
      <c r="E165" s="526" t="n"/>
      <c r="F165" s="526" t="n"/>
      <c r="G165" s="527" t="n"/>
      <c r="H165" s="393" t="n"/>
      <c r="I165" s="528" t="n"/>
      <c r="J165" s="528" t="n"/>
      <c r="K165" s="528" t="n"/>
      <c r="L165" s="529" t="n"/>
      <c r="M165" s="529" t="n"/>
      <c r="N165" s="530" t="n"/>
      <c r="O165" s="531" t="n"/>
      <c r="P165" s="527" t="n"/>
      <c r="Q165" s="528" t="n"/>
      <c r="R165" s="528" t="n"/>
      <c r="S165" s="528" t="n"/>
      <c r="T165" s="543" t="n"/>
      <c r="U165" s="534" t="n"/>
      <c r="V165" s="516" t="n"/>
      <c r="W165" s="535" t="n"/>
      <c r="X165" s="536" t="n"/>
      <c r="Y165" s="519" t="n"/>
      <c r="Z165" s="683" t="n"/>
      <c r="AA165" s="684" t="n"/>
      <c r="AB165" s="684" t="n"/>
      <c r="AC165" s="684" t="n"/>
      <c r="AD165" s="685" t="n"/>
      <c r="AE165" s="686" t="n"/>
      <c r="AF165" s="684" t="n"/>
      <c r="AG165" s="687" t="n"/>
      <c r="AH165" s="687" t="n"/>
      <c r="AI165" s="684" t="n"/>
      <c r="AJ165" s="686" t="n"/>
      <c r="AK165" s="687" t="n"/>
      <c r="AL165" s="687" t="n"/>
      <c r="AM165" s="687" t="n"/>
      <c r="AN165" s="688" t="n"/>
      <c r="AO165" s="686" t="n"/>
      <c r="AP165" s="689" t="n"/>
      <c r="AQ165" s="689" t="n"/>
      <c r="AR165" s="689" t="n"/>
      <c r="AS165" s="690" t="n"/>
      <c r="AT165" s="691">
        <f>IF(AJ165&lt;&gt;"",(IF(AV165="到貨","",(AJ165-TODAY()))),"")</f>
        <v/>
      </c>
      <c r="AU165" s="692">
        <f>IF(AO165&lt;&gt;"",(AO165-AE165),"")</f>
        <v/>
      </c>
      <c r="AV165" s="86">
        <f>IF(AI165&lt;&gt;"",IF(AS165&lt;&gt;"","到貨","5次發包中"),IF(AH165&lt;&gt;"",IF(AR165&lt;&gt;"","到貨","4次發包中"),IF(AG165&lt;&gt;"",IF(AQ165&lt;&gt;"","到貨","3次發包中"),IF(AF165&lt;&gt;"",IF(AP165&lt;&gt;"","到貨","2次發包中"),IF(AE165&lt;&gt;"",IF(AO165&lt;&gt;"","到貨","發包中"),"")))))</f>
        <v/>
      </c>
      <c r="AW165" s="86">
        <f>IF(OR($AW$6=Y165),$AW$6,"")</f>
        <v/>
      </c>
      <c r="AX165" s="87">
        <f t="array" ref="AX165">IF(OR(AV165:AW165={"到貨","庫存"}),"完成","")</f>
        <v/>
      </c>
      <c r="AY165" s="92">
        <f>E165*$M$1</f>
        <v/>
      </c>
    </row>
    <row r="166" outlineLevel="1" ht="14.25" customHeight="1">
      <c r="A166" s="43" t="n">
        <v>161</v>
      </c>
      <c r="B166" s="526" t="n"/>
      <c r="C166" s="393" t="n"/>
      <c r="D166" s="427" t="n"/>
      <c r="E166" s="526" t="n"/>
      <c r="F166" s="526" t="n"/>
      <c r="G166" s="527" t="n"/>
      <c r="H166" s="393" t="n"/>
      <c r="I166" s="528" t="n"/>
      <c r="J166" s="528" t="n"/>
      <c r="K166" s="528" t="n"/>
      <c r="L166" s="529" t="n"/>
      <c r="M166" s="529" t="n"/>
      <c r="N166" s="530" t="n"/>
      <c r="O166" s="531" t="n"/>
      <c r="P166" s="527" t="n"/>
      <c r="Q166" s="528" t="n"/>
      <c r="R166" s="528" t="n"/>
      <c r="S166" s="528" t="n"/>
      <c r="T166" s="543" t="n"/>
      <c r="U166" s="534" t="n"/>
      <c r="V166" s="516" t="n"/>
      <c r="W166" s="535" t="n"/>
      <c r="X166" s="536" t="n"/>
      <c r="Y166" s="519" t="n"/>
      <c r="Z166" s="683" t="n"/>
      <c r="AA166" s="684" t="n"/>
      <c r="AB166" s="684" t="n"/>
      <c r="AC166" s="684" t="n"/>
      <c r="AD166" s="685" t="n"/>
      <c r="AE166" s="686" t="n"/>
      <c r="AF166" s="684" t="n"/>
      <c r="AG166" s="687" t="n"/>
      <c r="AH166" s="687" t="n"/>
      <c r="AI166" s="684" t="n"/>
      <c r="AJ166" s="686" t="n"/>
      <c r="AK166" s="687" t="n"/>
      <c r="AL166" s="687" t="n"/>
      <c r="AM166" s="687" t="n"/>
      <c r="AN166" s="688" t="n"/>
      <c r="AO166" s="686" t="n"/>
      <c r="AP166" s="689" t="n"/>
      <c r="AQ166" s="689" t="n"/>
      <c r="AR166" s="689" t="n"/>
      <c r="AS166" s="690" t="n"/>
      <c r="AT166" s="691">
        <f>IF(AJ166&lt;&gt;"",(IF(AV166="到貨","",(AJ166-TODAY()))),"")</f>
        <v/>
      </c>
      <c r="AU166" s="692">
        <f>IF(AO166&lt;&gt;"",(AO166-AE166),"")</f>
        <v/>
      </c>
      <c r="AV166" s="86">
        <f>IF(AI166&lt;&gt;"",IF(AS166&lt;&gt;"","到貨","5次發包中"),IF(AH166&lt;&gt;"",IF(AR166&lt;&gt;"","到貨","4次發包中"),IF(AG166&lt;&gt;"",IF(AQ166&lt;&gt;"","到貨","3次發包中"),IF(AF166&lt;&gt;"",IF(AP166&lt;&gt;"","到貨","2次發包中"),IF(AE166&lt;&gt;"",IF(AO166&lt;&gt;"","到貨","發包中"),"")))))</f>
        <v/>
      </c>
      <c r="AW166" s="86">
        <f>IF(OR($AW$6=Y166),$AW$6,"")</f>
        <v/>
      </c>
      <c r="AX166" s="87">
        <f t="array" ref="AX166">IF(OR(AV166:AW166={"到貨","庫存"}),"完成","")</f>
        <v/>
      </c>
      <c r="AY166" s="92">
        <f>E166*$M$1</f>
        <v/>
      </c>
    </row>
    <row r="167" outlineLevel="1" ht="14.25" customHeight="1">
      <c r="A167" s="43" t="n">
        <v>162</v>
      </c>
      <c r="B167" s="526" t="n"/>
      <c r="C167" s="393" t="n"/>
      <c r="D167" s="427" t="n"/>
      <c r="E167" s="526" t="n"/>
      <c r="F167" s="526" t="n"/>
      <c r="G167" s="527" t="n"/>
      <c r="H167" s="393" t="n"/>
      <c r="I167" s="528" t="n"/>
      <c r="J167" s="528" t="n"/>
      <c r="K167" s="528" t="n"/>
      <c r="L167" s="529" t="n"/>
      <c r="M167" s="529" t="n"/>
      <c r="N167" s="530" t="n"/>
      <c r="O167" s="531" t="n"/>
      <c r="P167" s="527" t="n"/>
      <c r="Q167" s="528" t="n"/>
      <c r="R167" s="528" t="n"/>
      <c r="S167" s="528" t="n"/>
      <c r="T167" s="543" t="n"/>
      <c r="U167" s="534" t="n"/>
      <c r="V167" s="516" t="n"/>
      <c r="W167" s="535" t="n"/>
      <c r="X167" s="536" t="n"/>
      <c r="Y167" s="519" t="n"/>
      <c r="Z167" s="683" t="n"/>
      <c r="AA167" s="684" t="n"/>
      <c r="AB167" s="684" t="n"/>
      <c r="AC167" s="684" t="n"/>
      <c r="AD167" s="685" t="n"/>
      <c r="AE167" s="686" t="n"/>
      <c r="AF167" s="684" t="n"/>
      <c r="AG167" s="687" t="n"/>
      <c r="AH167" s="687" t="n"/>
      <c r="AI167" s="684" t="n"/>
      <c r="AJ167" s="686" t="n"/>
      <c r="AK167" s="687" t="n"/>
      <c r="AL167" s="687" t="n"/>
      <c r="AM167" s="687" t="n"/>
      <c r="AN167" s="688" t="n"/>
      <c r="AO167" s="686" t="n"/>
      <c r="AP167" s="689" t="n"/>
      <c r="AQ167" s="689" t="n"/>
      <c r="AR167" s="689" t="n"/>
      <c r="AS167" s="690" t="n"/>
      <c r="AT167" s="691">
        <f>IF(AJ167&lt;&gt;"",(IF(AV167="到貨","",(AJ167-TODAY()))),"")</f>
        <v/>
      </c>
      <c r="AU167" s="692">
        <f>IF(AO167&lt;&gt;"",(AO167-AE167),"")</f>
        <v/>
      </c>
      <c r="AV167" s="86">
        <f>IF(AI167&lt;&gt;"",IF(AS167&lt;&gt;"","到貨","5次發包中"),IF(AH167&lt;&gt;"",IF(AR167&lt;&gt;"","到貨","4次發包中"),IF(AG167&lt;&gt;"",IF(AQ167&lt;&gt;"","到貨","3次發包中"),IF(AF167&lt;&gt;"",IF(AP167&lt;&gt;"","到貨","2次發包中"),IF(AE167&lt;&gt;"",IF(AO167&lt;&gt;"","到貨","發包中"),"")))))</f>
        <v/>
      </c>
      <c r="AW167" s="86">
        <f>IF(OR($AW$6=Y167),$AW$6,"")</f>
        <v/>
      </c>
      <c r="AX167" s="87">
        <f t="array" ref="AX167">IF(OR(AV167:AW167={"到貨","庫存"}),"完成","")</f>
        <v/>
      </c>
      <c r="AY167" s="92">
        <f>E167*$M$1</f>
        <v/>
      </c>
    </row>
    <row r="168" outlineLevel="1" ht="14.25" customHeight="1">
      <c r="A168" s="43" t="n">
        <v>163</v>
      </c>
      <c r="B168" s="526" t="n"/>
      <c r="C168" s="393" t="n"/>
      <c r="D168" s="427" t="n"/>
      <c r="E168" s="526" t="n"/>
      <c r="F168" s="526" t="n"/>
      <c r="G168" s="527" t="n"/>
      <c r="H168" s="393" t="n"/>
      <c r="I168" s="528" t="n"/>
      <c r="J168" s="528" t="n"/>
      <c r="K168" s="528" t="n"/>
      <c r="L168" s="529" t="n"/>
      <c r="M168" s="529" t="n"/>
      <c r="N168" s="530" t="n"/>
      <c r="O168" s="531" t="n"/>
      <c r="P168" s="527" t="n"/>
      <c r="Q168" s="528" t="n"/>
      <c r="R168" s="528" t="n"/>
      <c r="S168" s="528" t="n"/>
      <c r="T168" s="543" t="n"/>
      <c r="U168" s="534" t="n"/>
      <c r="V168" s="516" t="n"/>
      <c r="W168" s="535" t="n"/>
      <c r="X168" s="536" t="n"/>
      <c r="Y168" s="519" t="n"/>
      <c r="Z168" s="683" t="n"/>
      <c r="AA168" s="684" t="n"/>
      <c r="AB168" s="684" t="n"/>
      <c r="AC168" s="684" t="n"/>
      <c r="AD168" s="685" t="n"/>
      <c r="AE168" s="686" t="n"/>
      <c r="AF168" s="684" t="n"/>
      <c r="AG168" s="687" t="n"/>
      <c r="AH168" s="687" t="n"/>
      <c r="AI168" s="684" t="n"/>
      <c r="AJ168" s="686" t="n"/>
      <c r="AK168" s="687" t="n"/>
      <c r="AL168" s="687" t="n"/>
      <c r="AM168" s="687" t="n"/>
      <c r="AN168" s="688" t="n"/>
      <c r="AO168" s="686" t="n"/>
      <c r="AP168" s="689" t="n"/>
      <c r="AQ168" s="689" t="n"/>
      <c r="AR168" s="689" t="n"/>
      <c r="AS168" s="690" t="n"/>
      <c r="AT168" s="691">
        <f>IF(AJ168&lt;&gt;"",(IF(AV168="到貨","",(AJ168-TODAY()))),"")</f>
        <v/>
      </c>
      <c r="AU168" s="692">
        <f>IF(AO168&lt;&gt;"",(AO168-AE168),"")</f>
        <v/>
      </c>
      <c r="AV168" s="86">
        <f>IF(AI168&lt;&gt;"",IF(AS168&lt;&gt;"","到貨","5次發包中"),IF(AH168&lt;&gt;"",IF(AR168&lt;&gt;"","到貨","4次發包中"),IF(AG168&lt;&gt;"",IF(AQ168&lt;&gt;"","到貨","3次發包中"),IF(AF168&lt;&gt;"",IF(AP168&lt;&gt;"","到貨","2次發包中"),IF(AE168&lt;&gt;"",IF(AO168&lt;&gt;"","到貨","發包中"),"")))))</f>
        <v/>
      </c>
      <c r="AW168" s="86">
        <f>IF(OR($AW$6=Y168),$AW$6,"")</f>
        <v/>
      </c>
      <c r="AX168" s="87">
        <f t="array" ref="AX168">IF(OR(AV168:AW168={"到貨","庫存"}),"完成","")</f>
        <v/>
      </c>
      <c r="AY168" s="92">
        <f>E168*$M$1</f>
        <v/>
      </c>
    </row>
    <row r="169" outlineLevel="1" ht="14.25" customHeight="1">
      <c r="A169" s="43" t="n">
        <v>164</v>
      </c>
      <c r="B169" s="526" t="n"/>
      <c r="C169" s="393" t="n"/>
      <c r="D169" s="427" t="n"/>
      <c r="E169" s="526" t="n"/>
      <c r="F169" s="526" t="n"/>
      <c r="G169" s="527" t="n"/>
      <c r="H169" s="393" t="n"/>
      <c r="I169" s="528" t="n"/>
      <c r="J169" s="528" t="n"/>
      <c r="K169" s="528" t="n"/>
      <c r="L169" s="529" t="n"/>
      <c r="M169" s="529" t="n"/>
      <c r="N169" s="530" t="n"/>
      <c r="O169" s="531" t="n"/>
      <c r="P169" s="527" t="n"/>
      <c r="Q169" s="528" t="n"/>
      <c r="R169" s="528" t="n"/>
      <c r="S169" s="528" t="n"/>
      <c r="T169" s="543" t="n"/>
      <c r="U169" s="534" t="n"/>
      <c r="V169" s="516" t="n"/>
      <c r="W169" s="535" t="n"/>
      <c r="X169" s="536" t="n"/>
      <c r="Y169" s="519" t="n"/>
      <c r="Z169" s="683" t="n"/>
      <c r="AA169" s="684" t="n"/>
      <c r="AB169" s="684" t="n"/>
      <c r="AC169" s="684" t="n"/>
      <c r="AD169" s="685" t="n"/>
      <c r="AE169" s="686" t="n"/>
      <c r="AF169" s="684" t="n"/>
      <c r="AG169" s="687" t="n"/>
      <c r="AH169" s="687" t="n"/>
      <c r="AI169" s="684" t="n"/>
      <c r="AJ169" s="686" t="n"/>
      <c r="AK169" s="687" t="n"/>
      <c r="AL169" s="687" t="n"/>
      <c r="AM169" s="687" t="n"/>
      <c r="AN169" s="688" t="n"/>
      <c r="AO169" s="686" t="n"/>
      <c r="AP169" s="689" t="n"/>
      <c r="AQ169" s="689" t="n"/>
      <c r="AR169" s="689" t="n"/>
      <c r="AS169" s="690" t="n"/>
      <c r="AT169" s="691">
        <f>IF(AJ169&lt;&gt;"",(IF(AV169="到貨","",(AJ169-TODAY()))),"")</f>
        <v/>
      </c>
      <c r="AU169" s="692">
        <f>IF(AO169&lt;&gt;"",(AO169-AE169),"")</f>
        <v/>
      </c>
      <c r="AV169" s="86">
        <f>IF(AI169&lt;&gt;"",IF(AS169&lt;&gt;"","到貨","5次發包中"),IF(AH169&lt;&gt;"",IF(AR169&lt;&gt;"","到貨","4次發包中"),IF(AG169&lt;&gt;"",IF(AQ169&lt;&gt;"","到貨","3次發包中"),IF(AF169&lt;&gt;"",IF(AP169&lt;&gt;"","到貨","2次發包中"),IF(AE169&lt;&gt;"",IF(AO169&lt;&gt;"","到貨","發包中"),"")))))</f>
        <v/>
      </c>
      <c r="AW169" s="86">
        <f>IF(OR($AW$6=Y169),$AW$6,"")</f>
        <v/>
      </c>
      <c r="AX169" s="87">
        <f t="array" ref="AX169">IF(OR(AV169:AW169={"到貨","庫存"}),"完成","")</f>
        <v/>
      </c>
      <c r="AY169" s="92">
        <f>E169*$M$1</f>
        <v/>
      </c>
    </row>
    <row r="170" outlineLevel="1" ht="14.25" customHeight="1">
      <c r="A170" s="43" t="n">
        <v>165</v>
      </c>
      <c r="B170" s="526" t="n"/>
      <c r="C170" s="393" t="n"/>
      <c r="D170" s="427" t="n"/>
      <c r="E170" s="526" t="n"/>
      <c r="F170" s="526" t="n"/>
      <c r="G170" s="527" t="n"/>
      <c r="H170" s="393" t="n"/>
      <c r="I170" s="528" t="n"/>
      <c r="J170" s="528" t="n"/>
      <c r="K170" s="528" t="n"/>
      <c r="L170" s="529" t="n"/>
      <c r="M170" s="529" t="n"/>
      <c r="N170" s="530" t="n"/>
      <c r="O170" s="531" t="n"/>
      <c r="P170" s="527" t="n"/>
      <c r="Q170" s="528" t="n"/>
      <c r="R170" s="528" t="n"/>
      <c r="S170" s="528" t="n"/>
      <c r="T170" s="543" t="n"/>
      <c r="U170" s="534" t="n"/>
      <c r="V170" s="516" t="n"/>
      <c r="W170" s="535" t="n"/>
      <c r="X170" s="536" t="n"/>
      <c r="Y170" s="519" t="n"/>
      <c r="Z170" s="683" t="n"/>
      <c r="AA170" s="684" t="n"/>
      <c r="AB170" s="684" t="n"/>
      <c r="AC170" s="684" t="n"/>
      <c r="AD170" s="685" t="n"/>
      <c r="AE170" s="686" t="n"/>
      <c r="AF170" s="684" t="n"/>
      <c r="AG170" s="687" t="n"/>
      <c r="AH170" s="687" t="n"/>
      <c r="AI170" s="684" t="n"/>
      <c r="AJ170" s="686" t="n"/>
      <c r="AK170" s="687" t="n"/>
      <c r="AL170" s="687" t="n"/>
      <c r="AM170" s="687" t="n"/>
      <c r="AN170" s="688" t="n"/>
      <c r="AO170" s="686" t="n"/>
      <c r="AP170" s="689" t="n"/>
      <c r="AQ170" s="689" t="n"/>
      <c r="AR170" s="689" t="n"/>
      <c r="AS170" s="690" t="n"/>
      <c r="AT170" s="691">
        <f>IF(AJ170&lt;&gt;"",(IF(AV170="到貨","",(AJ170-TODAY()))),"")</f>
        <v/>
      </c>
      <c r="AU170" s="692">
        <f>IF(AO170&lt;&gt;"",(AO170-AE170),"")</f>
        <v/>
      </c>
      <c r="AV170" s="86">
        <f>IF(AI170&lt;&gt;"",IF(AS170&lt;&gt;"","到貨","5次發包中"),IF(AH170&lt;&gt;"",IF(AR170&lt;&gt;"","到貨","4次發包中"),IF(AG170&lt;&gt;"",IF(AQ170&lt;&gt;"","到貨","3次發包中"),IF(AF170&lt;&gt;"",IF(AP170&lt;&gt;"","到貨","2次發包中"),IF(AE170&lt;&gt;"",IF(AO170&lt;&gt;"","到貨","發包中"),"")))))</f>
        <v/>
      </c>
      <c r="AW170" s="86">
        <f>IF(OR($AW$6=Y170),$AW$6,"")</f>
        <v/>
      </c>
      <c r="AX170" s="87">
        <f t="array" ref="AX170">IF(OR(AV170:AW170={"到貨","庫存"}),"完成","")</f>
        <v/>
      </c>
      <c r="AY170" s="92">
        <f>E170*$M$1</f>
        <v/>
      </c>
    </row>
    <row r="171" outlineLevel="1" ht="14.25" customHeight="1">
      <c r="A171" s="43" t="n">
        <v>166</v>
      </c>
      <c r="B171" s="526" t="n"/>
      <c r="C171" s="393" t="n"/>
      <c r="D171" s="427" t="n"/>
      <c r="E171" s="526" t="n"/>
      <c r="F171" s="526" t="n"/>
      <c r="G171" s="527" t="n"/>
      <c r="H171" s="393" t="n"/>
      <c r="I171" s="528" t="n"/>
      <c r="J171" s="528" t="n"/>
      <c r="K171" s="528" t="n"/>
      <c r="L171" s="529" t="n"/>
      <c r="M171" s="529" t="n"/>
      <c r="N171" s="530" t="n"/>
      <c r="O171" s="531" t="n"/>
      <c r="P171" s="527" t="n"/>
      <c r="Q171" s="528" t="n"/>
      <c r="R171" s="528" t="n"/>
      <c r="S171" s="528" t="n"/>
      <c r="T171" s="543" t="n"/>
      <c r="U171" s="534" t="n"/>
      <c r="V171" s="516" t="n"/>
      <c r="W171" s="535" t="n"/>
      <c r="X171" s="536" t="n"/>
      <c r="Y171" s="519" t="n"/>
      <c r="Z171" s="683" t="n"/>
      <c r="AA171" s="684" t="n"/>
      <c r="AB171" s="684" t="n"/>
      <c r="AC171" s="684" t="n"/>
      <c r="AD171" s="685" t="n"/>
      <c r="AE171" s="686" t="n"/>
      <c r="AF171" s="684" t="n"/>
      <c r="AG171" s="687" t="n"/>
      <c r="AH171" s="687" t="n"/>
      <c r="AI171" s="684" t="n"/>
      <c r="AJ171" s="686" t="n"/>
      <c r="AK171" s="687" t="n"/>
      <c r="AL171" s="687" t="n"/>
      <c r="AM171" s="687" t="n"/>
      <c r="AN171" s="688" t="n"/>
      <c r="AO171" s="686" t="n"/>
      <c r="AP171" s="689" t="n"/>
      <c r="AQ171" s="689" t="n"/>
      <c r="AR171" s="689" t="n"/>
      <c r="AS171" s="690" t="n"/>
      <c r="AT171" s="691">
        <f>IF(AJ171&lt;&gt;"",(IF(AV171="到貨","",(AJ171-TODAY()))),"")</f>
        <v/>
      </c>
      <c r="AU171" s="692">
        <f>IF(AO171&lt;&gt;"",(AO171-AE171),"")</f>
        <v/>
      </c>
      <c r="AV171" s="86">
        <f>IF(AI171&lt;&gt;"",IF(AS171&lt;&gt;"","到貨","5次發包中"),IF(AH171&lt;&gt;"",IF(AR171&lt;&gt;"","到貨","4次發包中"),IF(AG171&lt;&gt;"",IF(AQ171&lt;&gt;"","到貨","3次發包中"),IF(AF171&lt;&gt;"",IF(AP171&lt;&gt;"","到貨","2次發包中"),IF(AE171&lt;&gt;"",IF(AO171&lt;&gt;"","到貨","發包中"),"")))))</f>
        <v/>
      </c>
      <c r="AW171" s="86">
        <f>IF(OR($AW$6=Y171),$AW$6,"")</f>
        <v/>
      </c>
      <c r="AX171" s="87">
        <f t="array" ref="AX171">IF(OR(AV171:AW171={"到貨","庫存"}),"完成","")</f>
        <v/>
      </c>
      <c r="AY171" s="92">
        <f>E171*$M$1</f>
        <v/>
      </c>
    </row>
    <row r="172" outlineLevel="1" ht="14.25" customHeight="1">
      <c r="A172" s="43" t="n">
        <v>167</v>
      </c>
      <c r="B172" s="526" t="n"/>
      <c r="C172" s="393" t="n"/>
      <c r="D172" s="427" t="n"/>
      <c r="E172" s="526" t="n"/>
      <c r="F172" s="526" t="n"/>
      <c r="G172" s="527" t="n"/>
      <c r="H172" s="393" t="n"/>
      <c r="I172" s="528" t="n"/>
      <c r="J172" s="528" t="n"/>
      <c r="K172" s="528" t="n"/>
      <c r="L172" s="529" t="n"/>
      <c r="M172" s="529" t="n"/>
      <c r="N172" s="530" t="n"/>
      <c r="O172" s="531" t="n"/>
      <c r="P172" s="527" t="n"/>
      <c r="Q172" s="528" t="n"/>
      <c r="R172" s="528" t="n"/>
      <c r="S172" s="528" t="n"/>
      <c r="T172" s="543" t="n"/>
      <c r="U172" s="534" t="n"/>
      <c r="V172" s="516" t="n"/>
      <c r="W172" s="535" t="n"/>
      <c r="X172" s="536" t="n"/>
      <c r="Y172" s="519" t="n"/>
      <c r="Z172" s="683" t="n"/>
      <c r="AA172" s="684" t="n"/>
      <c r="AB172" s="684" t="n"/>
      <c r="AC172" s="684" t="n"/>
      <c r="AD172" s="685" t="n"/>
      <c r="AE172" s="686" t="n"/>
      <c r="AF172" s="684" t="n"/>
      <c r="AG172" s="687" t="n"/>
      <c r="AH172" s="687" t="n"/>
      <c r="AI172" s="684" t="n"/>
      <c r="AJ172" s="686" t="n"/>
      <c r="AK172" s="687" t="n"/>
      <c r="AL172" s="687" t="n"/>
      <c r="AM172" s="687" t="n"/>
      <c r="AN172" s="688" t="n"/>
      <c r="AO172" s="686" t="n"/>
      <c r="AP172" s="689" t="n"/>
      <c r="AQ172" s="689" t="n"/>
      <c r="AR172" s="689" t="n"/>
      <c r="AS172" s="690" t="n"/>
      <c r="AT172" s="691">
        <f>IF(AJ172&lt;&gt;"",(IF(AV172="到貨","",(AJ172-TODAY()))),"")</f>
        <v/>
      </c>
      <c r="AU172" s="692">
        <f>IF(AO172&lt;&gt;"",(AO172-AE172),"")</f>
        <v/>
      </c>
      <c r="AV172" s="86">
        <f>IF(AI172&lt;&gt;"",IF(AS172&lt;&gt;"","到貨","5次發包中"),IF(AH172&lt;&gt;"",IF(AR172&lt;&gt;"","到貨","4次發包中"),IF(AG172&lt;&gt;"",IF(AQ172&lt;&gt;"","到貨","3次發包中"),IF(AF172&lt;&gt;"",IF(AP172&lt;&gt;"","到貨","2次發包中"),IF(AE172&lt;&gt;"",IF(AO172&lt;&gt;"","到貨","發包中"),"")))))</f>
        <v/>
      </c>
      <c r="AW172" s="86">
        <f>IF(OR($AW$6=Y172),$AW$6,"")</f>
        <v/>
      </c>
      <c r="AX172" s="87">
        <f t="array" ref="AX172">IF(OR(AV172:AW172={"到貨","庫存"}),"完成","")</f>
        <v/>
      </c>
      <c r="AY172" s="92">
        <f>E172*$M$1</f>
        <v/>
      </c>
    </row>
    <row r="173" outlineLevel="1" ht="14.25" customHeight="1">
      <c r="A173" s="43" t="n">
        <v>168</v>
      </c>
      <c r="B173" s="526" t="n"/>
      <c r="C173" s="393" t="n"/>
      <c r="D173" s="427" t="n"/>
      <c r="E173" s="526" t="n"/>
      <c r="F173" s="526" t="n"/>
      <c r="G173" s="527" t="n"/>
      <c r="H173" s="393" t="n"/>
      <c r="I173" s="528" t="n"/>
      <c r="J173" s="528" t="n"/>
      <c r="K173" s="528" t="n"/>
      <c r="L173" s="529" t="n"/>
      <c r="M173" s="529" t="n"/>
      <c r="N173" s="530" t="n"/>
      <c r="O173" s="531" t="n"/>
      <c r="P173" s="527" t="n"/>
      <c r="Q173" s="528" t="n"/>
      <c r="R173" s="528" t="n"/>
      <c r="S173" s="528" t="n"/>
      <c r="T173" s="543" t="n"/>
      <c r="U173" s="534" t="n"/>
      <c r="V173" s="516" t="n"/>
      <c r="W173" s="535" t="n"/>
      <c r="X173" s="536" t="n"/>
      <c r="Y173" s="519" t="n"/>
      <c r="Z173" s="683" t="n"/>
      <c r="AA173" s="684" t="n"/>
      <c r="AB173" s="684" t="n"/>
      <c r="AC173" s="684" t="n"/>
      <c r="AD173" s="685" t="n"/>
      <c r="AE173" s="686" t="n"/>
      <c r="AF173" s="684" t="n"/>
      <c r="AG173" s="687" t="n"/>
      <c r="AH173" s="687" t="n"/>
      <c r="AI173" s="684" t="n"/>
      <c r="AJ173" s="686" t="n"/>
      <c r="AK173" s="687" t="n"/>
      <c r="AL173" s="687" t="n"/>
      <c r="AM173" s="687" t="n"/>
      <c r="AN173" s="688" t="n"/>
      <c r="AO173" s="686" t="n"/>
      <c r="AP173" s="689" t="n"/>
      <c r="AQ173" s="689" t="n"/>
      <c r="AR173" s="689" t="n"/>
      <c r="AS173" s="690" t="n"/>
      <c r="AT173" s="691">
        <f>IF(AJ173&lt;&gt;"",(IF(AV173="到貨","",(AJ173-TODAY()))),"")</f>
        <v/>
      </c>
      <c r="AU173" s="692">
        <f>IF(AO173&lt;&gt;"",(AO173-AE173),"")</f>
        <v/>
      </c>
      <c r="AV173" s="86">
        <f>IF(AI173&lt;&gt;"",IF(AS173&lt;&gt;"","到貨","5次發包中"),IF(AH173&lt;&gt;"",IF(AR173&lt;&gt;"","到貨","4次發包中"),IF(AG173&lt;&gt;"",IF(AQ173&lt;&gt;"","到貨","3次發包中"),IF(AF173&lt;&gt;"",IF(AP173&lt;&gt;"","到貨","2次發包中"),IF(AE173&lt;&gt;"",IF(AO173&lt;&gt;"","到貨","發包中"),"")))))</f>
        <v/>
      </c>
      <c r="AW173" s="86">
        <f>IF(OR($AW$6=Y173),$AW$6,"")</f>
        <v/>
      </c>
      <c r="AX173" s="87">
        <f t="array" ref="AX173">IF(OR(AV173:AW173={"到貨","庫存"}),"完成","")</f>
        <v/>
      </c>
      <c r="AY173" s="92">
        <f>E173*$M$1</f>
        <v/>
      </c>
    </row>
    <row r="174" outlineLevel="1" ht="14.25" customHeight="1">
      <c r="A174" s="43" t="n">
        <v>169</v>
      </c>
      <c r="B174" s="526" t="n"/>
      <c r="C174" s="393" t="n"/>
      <c r="D174" s="427" t="n"/>
      <c r="E174" s="526" t="n"/>
      <c r="F174" s="526" t="n"/>
      <c r="G174" s="527" t="n"/>
      <c r="H174" s="393" t="n"/>
      <c r="I174" s="528" t="n"/>
      <c r="J174" s="528" t="n"/>
      <c r="K174" s="528" t="n"/>
      <c r="L174" s="529" t="n"/>
      <c r="M174" s="529" t="n"/>
      <c r="N174" s="530" t="n"/>
      <c r="O174" s="531" t="n"/>
      <c r="P174" s="527" t="n"/>
      <c r="Q174" s="528" t="n"/>
      <c r="R174" s="528" t="n"/>
      <c r="S174" s="528" t="n"/>
      <c r="T174" s="543" t="n"/>
      <c r="U174" s="534" t="n"/>
      <c r="V174" s="516" t="n"/>
      <c r="W174" s="535" t="n"/>
      <c r="X174" s="536" t="n"/>
      <c r="Y174" s="519" t="n"/>
      <c r="Z174" s="683" t="n"/>
      <c r="AA174" s="684" t="n"/>
      <c r="AB174" s="684" t="n"/>
      <c r="AC174" s="684" t="n"/>
      <c r="AD174" s="685" t="n"/>
      <c r="AE174" s="686" t="n"/>
      <c r="AF174" s="684" t="n"/>
      <c r="AG174" s="687" t="n"/>
      <c r="AH174" s="687" t="n"/>
      <c r="AI174" s="684" t="n"/>
      <c r="AJ174" s="686" t="n"/>
      <c r="AK174" s="687" t="n"/>
      <c r="AL174" s="687" t="n"/>
      <c r="AM174" s="687" t="n"/>
      <c r="AN174" s="688" t="n"/>
      <c r="AO174" s="686" t="n"/>
      <c r="AP174" s="689" t="n"/>
      <c r="AQ174" s="689" t="n"/>
      <c r="AR174" s="689" t="n"/>
      <c r="AS174" s="690" t="n"/>
      <c r="AT174" s="691">
        <f>IF(AJ174&lt;&gt;"",(IF(AV174="到貨","",(AJ174-TODAY()))),"")</f>
        <v/>
      </c>
      <c r="AU174" s="692">
        <f>IF(AO174&lt;&gt;"",(AO174-AE174),"")</f>
        <v/>
      </c>
      <c r="AV174" s="86">
        <f>IF(AI174&lt;&gt;"",IF(AS174&lt;&gt;"","到貨","5次發包中"),IF(AH174&lt;&gt;"",IF(AR174&lt;&gt;"","到貨","4次發包中"),IF(AG174&lt;&gt;"",IF(AQ174&lt;&gt;"","到貨","3次發包中"),IF(AF174&lt;&gt;"",IF(AP174&lt;&gt;"","到貨","2次發包中"),IF(AE174&lt;&gt;"",IF(AO174&lt;&gt;"","到貨","發包中"),"")))))</f>
        <v/>
      </c>
      <c r="AW174" s="86">
        <f>IF(OR($AW$6=Y174),$AW$6,"")</f>
        <v/>
      </c>
      <c r="AX174" s="87">
        <f t="array" ref="AX174">IF(OR(AV174:AW174={"到貨","庫存"}),"完成","")</f>
        <v/>
      </c>
      <c r="AY174" s="92">
        <f>E174*$M$1</f>
        <v/>
      </c>
    </row>
    <row r="175" outlineLevel="1" ht="14.25" customHeight="1">
      <c r="A175" s="43" t="n">
        <v>170</v>
      </c>
      <c r="B175" s="526" t="n"/>
      <c r="C175" s="393" t="n"/>
      <c r="D175" s="427" t="n"/>
      <c r="E175" s="526" t="n"/>
      <c r="F175" s="526" t="n"/>
      <c r="G175" s="527" t="n"/>
      <c r="H175" s="393" t="n"/>
      <c r="I175" s="528" t="n"/>
      <c r="J175" s="528" t="n"/>
      <c r="K175" s="528" t="n"/>
      <c r="L175" s="529" t="n"/>
      <c r="M175" s="529" t="n"/>
      <c r="N175" s="530" t="n"/>
      <c r="O175" s="531" t="n"/>
      <c r="P175" s="527" t="n"/>
      <c r="Q175" s="528" t="n"/>
      <c r="R175" s="528" t="n"/>
      <c r="S175" s="528" t="n"/>
      <c r="T175" s="543" t="n"/>
      <c r="U175" s="534" t="n"/>
      <c r="V175" s="516" t="n"/>
      <c r="W175" s="535" t="n"/>
      <c r="X175" s="536" t="n"/>
      <c r="Y175" s="519" t="n"/>
      <c r="Z175" s="683" t="n"/>
      <c r="AA175" s="684" t="n"/>
      <c r="AB175" s="684" t="n"/>
      <c r="AC175" s="684" t="n"/>
      <c r="AD175" s="685" t="n"/>
      <c r="AE175" s="686" t="n"/>
      <c r="AF175" s="684" t="n"/>
      <c r="AG175" s="687" t="n"/>
      <c r="AH175" s="687" t="n"/>
      <c r="AI175" s="684" t="n"/>
      <c r="AJ175" s="686" t="n"/>
      <c r="AK175" s="687" t="n"/>
      <c r="AL175" s="687" t="n"/>
      <c r="AM175" s="687" t="n"/>
      <c r="AN175" s="688" t="n"/>
      <c r="AO175" s="686" t="n"/>
      <c r="AP175" s="689" t="n"/>
      <c r="AQ175" s="689" t="n"/>
      <c r="AR175" s="689" t="n"/>
      <c r="AS175" s="690" t="n"/>
      <c r="AT175" s="691">
        <f>IF(AJ175&lt;&gt;"",(IF(AV175="到貨","",(AJ175-TODAY()))),"")</f>
        <v/>
      </c>
      <c r="AU175" s="692">
        <f>IF(AO175&lt;&gt;"",(AO175-AE175),"")</f>
        <v/>
      </c>
      <c r="AV175" s="86">
        <f>IF(AI175&lt;&gt;"",IF(AS175&lt;&gt;"","到貨","5次發包中"),IF(AH175&lt;&gt;"",IF(AR175&lt;&gt;"","到貨","4次發包中"),IF(AG175&lt;&gt;"",IF(AQ175&lt;&gt;"","到貨","3次發包中"),IF(AF175&lt;&gt;"",IF(AP175&lt;&gt;"","到貨","2次發包中"),IF(AE175&lt;&gt;"",IF(AO175&lt;&gt;"","到貨","發包中"),"")))))</f>
        <v/>
      </c>
      <c r="AW175" s="86">
        <f>IF(OR($AW$6=Y175),$AW$6,"")</f>
        <v/>
      </c>
      <c r="AX175" s="87">
        <f t="array" ref="AX175">IF(OR(AV175:AW175={"到貨","庫存"}),"完成","")</f>
        <v/>
      </c>
      <c r="AY175" s="92">
        <f>E175*$M$1</f>
        <v/>
      </c>
    </row>
    <row r="176" outlineLevel="1" ht="14.25" customHeight="1">
      <c r="A176" s="43" t="n">
        <v>171</v>
      </c>
      <c r="B176" s="526" t="n"/>
      <c r="C176" s="393" t="n"/>
      <c r="D176" s="427" t="n"/>
      <c r="E176" s="526" t="n"/>
      <c r="F176" s="526" t="n"/>
      <c r="G176" s="527" t="n"/>
      <c r="H176" s="393" t="n"/>
      <c r="I176" s="528" t="n"/>
      <c r="J176" s="528" t="n"/>
      <c r="K176" s="528" t="n"/>
      <c r="L176" s="529" t="n"/>
      <c r="M176" s="529" t="n"/>
      <c r="N176" s="530" t="n"/>
      <c r="O176" s="531" t="n"/>
      <c r="P176" s="527" t="n"/>
      <c r="Q176" s="528" t="n"/>
      <c r="R176" s="528" t="n"/>
      <c r="S176" s="528" t="n"/>
      <c r="T176" s="543" t="n"/>
      <c r="U176" s="534" t="n"/>
      <c r="V176" s="516" t="n"/>
      <c r="W176" s="535" t="n"/>
      <c r="X176" s="536" t="n"/>
      <c r="Y176" s="519" t="n"/>
      <c r="Z176" s="683" t="n"/>
      <c r="AA176" s="684" t="n"/>
      <c r="AB176" s="684" t="n"/>
      <c r="AC176" s="684" t="n"/>
      <c r="AD176" s="685" t="n"/>
      <c r="AE176" s="686" t="n"/>
      <c r="AF176" s="684" t="n"/>
      <c r="AG176" s="687" t="n"/>
      <c r="AH176" s="687" t="n"/>
      <c r="AI176" s="684" t="n"/>
      <c r="AJ176" s="686" t="n"/>
      <c r="AK176" s="687" t="n"/>
      <c r="AL176" s="687" t="n"/>
      <c r="AM176" s="687" t="n"/>
      <c r="AN176" s="688" t="n"/>
      <c r="AO176" s="686" t="n"/>
      <c r="AP176" s="689" t="n"/>
      <c r="AQ176" s="689" t="n"/>
      <c r="AR176" s="689" t="n"/>
      <c r="AS176" s="690" t="n"/>
      <c r="AT176" s="691">
        <f>IF(AJ176&lt;&gt;"",(IF(AV176="到貨","",(AJ176-TODAY()))),"")</f>
        <v/>
      </c>
      <c r="AU176" s="692">
        <f>IF(AO176&lt;&gt;"",(AO176-AE176),"")</f>
        <v/>
      </c>
      <c r="AV176" s="86">
        <f>IF(AI176&lt;&gt;"",IF(AS176&lt;&gt;"","到貨","5次發包中"),IF(AH176&lt;&gt;"",IF(AR176&lt;&gt;"","到貨","4次發包中"),IF(AG176&lt;&gt;"",IF(AQ176&lt;&gt;"","到貨","3次發包中"),IF(AF176&lt;&gt;"",IF(AP176&lt;&gt;"","到貨","2次發包中"),IF(AE176&lt;&gt;"",IF(AO176&lt;&gt;"","到貨","發包中"),"")))))</f>
        <v/>
      </c>
      <c r="AW176" s="86">
        <f>IF(OR($AW$6=Y176),$AW$6,"")</f>
        <v/>
      </c>
      <c r="AX176" s="87">
        <f t="array" ref="AX176">IF(OR(AV176:AW176={"到貨","庫存"}),"完成","")</f>
        <v/>
      </c>
      <c r="AY176" s="92">
        <f>E176*$M$1</f>
        <v/>
      </c>
    </row>
    <row r="177" outlineLevel="1" ht="14.25" customHeight="1">
      <c r="A177" s="43" t="n">
        <v>172</v>
      </c>
      <c r="B177" s="526" t="n"/>
      <c r="C177" s="393" t="n"/>
      <c r="D177" s="427" t="n"/>
      <c r="E177" s="526" t="n"/>
      <c r="F177" s="526" t="n"/>
      <c r="G177" s="527" t="n"/>
      <c r="H177" s="393" t="n"/>
      <c r="I177" s="528" t="n"/>
      <c r="J177" s="528" t="n"/>
      <c r="K177" s="528" t="n"/>
      <c r="L177" s="529" t="n"/>
      <c r="M177" s="529" t="n"/>
      <c r="N177" s="530" t="n"/>
      <c r="O177" s="531" t="n"/>
      <c r="P177" s="527" t="n"/>
      <c r="Q177" s="528" t="n"/>
      <c r="R177" s="528" t="n"/>
      <c r="S177" s="528" t="n"/>
      <c r="T177" s="543" t="n"/>
      <c r="U177" s="534" t="n"/>
      <c r="V177" s="516" t="n"/>
      <c r="W177" s="535" t="n"/>
      <c r="X177" s="536" t="n"/>
      <c r="Y177" s="519" t="n"/>
      <c r="Z177" s="683" t="n"/>
      <c r="AA177" s="684" t="n"/>
      <c r="AB177" s="684" t="n"/>
      <c r="AC177" s="684" t="n"/>
      <c r="AD177" s="685" t="n"/>
      <c r="AE177" s="686" t="n"/>
      <c r="AF177" s="684" t="n"/>
      <c r="AG177" s="687" t="n"/>
      <c r="AH177" s="687" t="n"/>
      <c r="AI177" s="684" t="n"/>
      <c r="AJ177" s="686" t="n"/>
      <c r="AK177" s="687" t="n"/>
      <c r="AL177" s="687" t="n"/>
      <c r="AM177" s="687" t="n"/>
      <c r="AN177" s="688" t="n"/>
      <c r="AO177" s="686" t="n"/>
      <c r="AP177" s="689" t="n"/>
      <c r="AQ177" s="689" t="n"/>
      <c r="AR177" s="689" t="n"/>
      <c r="AS177" s="690" t="n"/>
      <c r="AT177" s="691">
        <f>IF(AJ177&lt;&gt;"",(IF(AV177="到貨","",(AJ177-TODAY()))),"")</f>
        <v/>
      </c>
      <c r="AU177" s="692">
        <f>IF(AO177&lt;&gt;"",(AO177-AE177),"")</f>
        <v/>
      </c>
      <c r="AV177" s="86">
        <f>IF(AI177&lt;&gt;"",IF(AS177&lt;&gt;"","到貨","5次發包中"),IF(AH177&lt;&gt;"",IF(AR177&lt;&gt;"","到貨","4次發包中"),IF(AG177&lt;&gt;"",IF(AQ177&lt;&gt;"","到貨","3次發包中"),IF(AF177&lt;&gt;"",IF(AP177&lt;&gt;"","到貨","2次發包中"),IF(AE177&lt;&gt;"",IF(AO177&lt;&gt;"","到貨","發包中"),"")))))</f>
        <v/>
      </c>
      <c r="AW177" s="86">
        <f>IF(OR($AW$6=Y177),$AW$6,"")</f>
        <v/>
      </c>
      <c r="AX177" s="87">
        <f t="array" ref="AX177">IF(OR(AV177:AW177={"到貨","庫存"}),"完成","")</f>
        <v/>
      </c>
      <c r="AY177" s="92">
        <f>E177*$M$1</f>
        <v/>
      </c>
    </row>
    <row r="178" outlineLevel="1" ht="14.25" customHeight="1">
      <c r="A178" s="43" t="n">
        <v>173</v>
      </c>
      <c r="B178" s="526" t="n"/>
      <c r="C178" s="393" t="n"/>
      <c r="D178" s="427" t="n"/>
      <c r="E178" s="526" t="n"/>
      <c r="F178" s="526" t="n"/>
      <c r="G178" s="527" t="n"/>
      <c r="H178" s="393" t="n"/>
      <c r="I178" s="528" t="n"/>
      <c r="J178" s="528" t="n"/>
      <c r="K178" s="528" t="n"/>
      <c r="L178" s="529" t="n"/>
      <c r="M178" s="529" t="n"/>
      <c r="N178" s="530" t="n"/>
      <c r="O178" s="531" t="n"/>
      <c r="P178" s="527" t="n"/>
      <c r="Q178" s="528" t="n"/>
      <c r="R178" s="528" t="n"/>
      <c r="S178" s="528" t="n"/>
      <c r="T178" s="543" t="n"/>
      <c r="U178" s="534" t="n"/>
      <c r="V178" s="516" t="n"/>
      <c r="W178" s="535" t="n"/>
      <c r="X178" s="536" t="n"/>
      <c r="Y178" s="519" t="n"/>
      <c r="Z178" s="683" t="n"/>
      <c r="AA178" s="684" t="n"/>
      <c r="AB178" s="684" t="n"/>
      <c r="AC178" s="684" t="n"/>
      <c r="AD178" s="685" t="n"/>
      <c r="AE178" s="686" t="n"/>
      <c r="AF178" s="684" t="n"/>
      <c r="AG178" s="687" t="n"/>
      <c r="AH178" s="687" t="n"/>
      <c r="AI178" s="684" t="n"/>
      <c r="AJ178" s="686" t="n"/>
      <c r="AK178" s="687" t="n"/>
      <c r="AL178" s="687" t="n"/>
      <c r="AM178" s="687" t="n"/>
      <c r="AN178" s="688" t="n"/>
      <c r="AO178" s="686" t="n"/>
      <c r="AP178" s="689" t="n"/>
      <c r="AQ178" s="689" t="n"/>
      <c r="AR178" s="689" t="n"/>
      <c r="AS178" s="690" t="n"/>
      <c r="AT178" s="691">
        <f>IF(AJ178&lt;&gt;"",(IF(AV178="到貨","",(AJ178-TODAY()))),"")</f>
        <v/>
      </c>
      <c r="AU178" s="692">
        <f>IF(AO178&lt;&gt;"",(AO178-AE178),"")</f>
        <v/>
      </c>
      <c r="AV178" s="86">
        <f>IF(AI178&lt;&gt;"",IF(AS178&lt;&gt;"","到貨","5次發包中"),IF(AH178&lt;&gt;"",IF(AR178&lt;&gt;"","到貨","4次發包中"),IF(AG178&lt;&gt;"",IF(AQ178&lt;&gt;"","到貨","3次發包中"),IF(AF178&lt;&gt;"",IF(AP178&lt;&gt;"","到貨","2次發包中"),IF(AE178&lt;&gt;"",IF(AO178&lt;&gt;"","到貨","發包中"),"")))))</f>
        <v/>
      </c>
      <c r="AW178" s="86">
        <f>IF(OR($AW$6=Y178),$AW$6,"")</f>
        <v/>
      </c>
      <c r="AX178" s="87">
        <f t="array" ref="AX178">IF(OR(AV178:AW178={"到貨","庫存"}),"完成","")</f>
        <v/>
      </c>
      <c r="AY178" s="92">
        <f>E178*$M$1</f>
        <v/>
      </c>
    </row>
    <row r="179" outlineLevel="1" ht="14.25" customHeight="1">
      <c r="A179" s="43" t="n">
        <v>174</v>
      </c>
      <c r="B179" s="526" t="n"/>
      <c r="C179" s="393" t="n"/>
      <c r="D179" s="427" t="n"/>
      <c r="E179" s="526" t="n"/>
      <c r="F179" s="526" t="n"/>
      <c r="G179" s="527" t="n"/>
      <c r="H179" s="393" t="n"/>
      <c r="I179" s="528" t="n"/>
      <c r="J179" s="528" t="n"/>
      <c r="K179" s="528" t="n"/>
      <c r="L179" s="529" t="n"/>
      <c r="M179" s="529" t="n"/>
      <c r="N179" s="530" t="n"/>
      <c r="O179" s="531" t="n"/>
      <c r="P179" s="527" t="n"/>
      <c r="Q179" s="528" t="n"/>
      <c r="R179" s="528" t="n"/>
      <c r="S179" s="528" t="n"/>
      <c r="T179" s="543" t="n"/>
      <c r="U179" s="534" t="n"/>
      <c r="V179" s="516" t="n"/>
      <c r="W179" s="535" t="n"/>
      <c r="X179" s="536" t="n"/>
      <c r="Y179" s="519" t="n"/>
      <c r="Z179" s="683" t="n"/>
      <c r="AA179" s="684" t="n"/>
      <c r="AB179" s="684" t="n"/>
      <c r="AC179" s="684" t="n"/>
      <c r="AD179" s="685" t="n"/>
      <c r="AE179" s="686" t="n"/>
      <c r="AF179" s="684" t="n"/>
      <c r="AG179" s="687" t="n"/>
      <c r="AH179" s="687" t="n"/>
      <c r="AI179" s="684" t="n"/>
      <c r="AJ179" s="686" t="n"/>
      <c r="AK179" s="687" t="n"/>
      <c r="AL179" s="687" t="n"/>
      <c r="AM179" s="687" t="n"/>
      <c r="AN179" s="688" t="n"/>
      <c r="AO179" s="686" t="n"/>
      <c r="AP179" s="689" t="n"/>
      <c r="AQ179" s="689" t="n"/>
      <c r="AR179" s="689" t="n"/>
      <c r="AS179" s="690" t="n"/>
      <c r="AT179" s="691">
        <f>IF(AJ179&lt;&gt;"",(IF(AV179="到貨","",(AJ179-TODAY()))),"")</f>
        <v/>
      </c>
      <c r="AU179" s="692">
        <f>IF(AO179&lt;&gt;"",(AO179-AE179),"")</f>
        <v/>
      </c>
      <c r="AV179" s="86">
        <f>IF(AI179&lt;&gt;"",IF(AS179&lt;&gt;"","到貨","5次發包中"),IF(AH179&lt;&gt;"",IF(AR179&lt;&gt;"","到貨","4次發包中"),IF(AG179&lt;&gt;"",IF(AQ179&lt;&gt;"","到貨","3次發包中"),IF(AF179&lt;&gt;"",IF(AP179&lt;&gt;"","到貨","2次發包中"),IF(AE179&lt;&gt;"",IF(AO179&lt;&gt;"","到貨","發包中"),"")))))</f>
        <v/>
      </c>
      <c r="AW179" s="86">
        <f>IF(OR($AW$6=Y179),$AW$6,"")</f>
        <v/>
      </c>
      <c r="AX179" s="87">
        <f t="array" ref="AX179">IF(OR(AV179:AW179={"到貨","庫存"}),"完成","")</f>
        <v/>
      </c>
      <c r="AY179" s="92">
        <f>E179*$M$1</f>
        <v/>
      </c>
    </row>
    <row r="180" outlineLevel="1" ht="14.25" customHeight="1">
      <c r="A180" s="43" t="n">
        <v>175</v>
      </c>
      <c r="B180" s="526" t="n"/>
      <c r="C180" s="393" t="n"/>
      <c r="D180" s="427" t="n"/>
      <c r="E180" s="526" t="n"/>
      <c r="F180" s="526" t="n"/>
      <c r="G180" s="527" t="n"/>
      <c r="H180" s="393" t="n"/>
      <c r="I180" s="528" t="n"/>
      <c r="J180" s="528" t="n"/>
      <c r="K180" s="528" t="n"/>
      <c r="L180" s="529" t="n"/>
      <c r="M180" s="529" t="n"/>
      <c r="N180" s="530" t="n"/>
      <c r="O180" s="531" t="n"/>
      <c r="P180" s="527" t="n"/>
      <c r="Q180" s="528" t="n"/>
      <c r="R180" s="528" t="n"/>
      <c r="S180" s="528" t="n"/>
      <c r="T180" s="543" t="n"/>
      <c r="U180" s="534" t="n"/>
      <c r="V180" s="516" t="n"/>
      <c r="W180" s="535" t="n"/>
      <c r="X180" s="536" t="n"/>
      <c r="Y180" s="519" t="n"/>
      <c r="Z180" s="683" t="n"/>
      <c r="AA180" s="684" t="n"/>
      <c r="AB180" s="684" t="n"/>
      <c r="AC180" s="684" t="n"/>
      <c r="AD180" s="685" t="n"/>
      <c r="AE180" s="686" t="n"/>
      <c r="AF180" s="684" t="n"/>
      <c r="AG180" s="687" t="n"/>
      <c r="AH180" s="687" t="n"/>
      <c r="AI180" s="684" t="n"/>
      <c r="AJ180" s="686" t="n"/>
      <c r="AK180" s="687" t="n"/>
      <c r="AL180" s="687" t="n"/>
      <c r="AM180" s="687" t="n"/>
      <c r="AN180" s="688" t="n"/>
      <c r="AO180" s="686" t="n"/>
      <c r="AP180" s="689" t="n"/>
      <c r="AQ180" s="689" t="n"/>
      <c r="AR180" s="689" t="n"/>
      <c r="AS180" s="690" t="n"/>
      <c r="AT180" s="691">
        <f>IF(AJ180&lt;&gt;"",(IF(AV180="到貨","",(AJ180-TODAY()))),"")</f>
        <v/>
      </c>
      <c r="AU180" s="692">
        <f>IF(AO180&lt;&gt;"",(AO180-AE180),"")</f>
        <v/>
      </c>
      <c r="AV180" s="86">
        <f>IF(AI180&lt;&gt;"",IF(AS180&lt;&gt;"","到貨","5次發包中"),IF(AH180&lt;&gt;"",IF(AR180&lt;&gt;"","到貨","4次發包中"),IF(AG180&lt;&gt;"",IF(AQ180&lt;&gt;"","到貨","3次發包中"),IF(AF180&lt;&gt;"",IF(AP180&lt;&gt;"","到貨","2次發包中"),IF(AE180&lt;&gt;"",IF(AO180&lt;&gt;"","到貨","發包中"),"")))))</f>
        <v/>
      </c>
      <c r="AW180" s="86">
        <f>IF(OR($AW$6=Y180),$AW$6,"")</f>
        <v/>
      </c>
      <c r="AX180" s="87">
        <f t="array" ref="AX180">IF(OR(AV180:AW180={"到貨","庫存"}),"完成","")</f>
        <v/>
      </c>
      <c r="AY180" s="92">
        <f>E180*$M$1</f>
        <v/>
      </c>
    </row>
    <row r="181" outlineLevel="1" ht="14.25" customHeight="1">
      <c r="A181" s="43" t="n">
        <v>176</v>
      </c>
      <c r="B181" s="526" t="n"/>
      <c r="C181" s="393" t="n"/>
      <c r="D181" s="427" t="n"/>
      <c r="E181" s="526" t="n"/>
      <c r="F181" s="526" t="n"/>
      <c r="G181" s="527" t="n"/>
      <c r="H181" s="393" t="n"/>
      <c r="I181" s="528" t="n"/>
      <c r="J181" s="528" t="n"/>
      <c r="K181" s="528" t="n"/>
      <c r="L181" s="529" t="n"/>
      <c r="M181" s="529" t="n"/>
      <c r="N181" s="530" t="n"/>
      <c r="O181" s="531" t="n"/>
      <c r="P181" s="527" t="n"/>
      <c r="Q181" s="528" t="n"/>
      <c r="R181" s="528" t="n"/>
      <c r="S181" s="528" t="n"/>
      <c r="T181" s="543" t="n"/>
      <c r="U181" s="534" t="n"/>
      <c r="V181" s="516" t="n"/>
      <c r="W181" s="535" t="n"/>
      <c r="X181" s="536" t="n"/>
      <c r="Y181" s="519" t="n"/>
      <c r="Z181" s="683" t="n"/>
      <c r="AA181" s="684" t="n"/>
      <c r="AB181" s="684" t="n"/>
      <c r="AC181" s="684" t="n"/>
      <c r="AD181" s="685" t="n"/>
      <c r="AE181" s="686" t="n"/>
      <c r="AF181" s="684" t="n"/>
      <c r="AG181" s="687" t="n"/>
      <c r="AH181" s="687" t="n"/>
      <c r="AI181" s="684" t="n"/>
      <c r="AJ181" s="686" t="n"/>
      <c r="AK181" s="687" t="n"/>
      <c r="AL181" s="687" t="n"/>
      <c r="AM181" s="687" t="n"/>
      <c r="AN181" s="688" t="n"/>
      <c r="AO181" s="686" t="n"/>
      <c r="AP181" s="689" t="n"/>
      <c r="AQ181" s="689" t="n"/>
      <c r="AR181" s="689" t="n"/>
      <c r="AS181" s="690" t="n"/>
      <c r="AT181" s="691">
        <f>IF(AJ181&lt;&gt;"",(IF(AV181="到貨","",(AJ181-TODAY()))),"")</f>
        <v/>
      </c>
      <c r="AU181" s="692">
        <f>IF(AO181&lt;&gt;"",(AO181-AE181),"")</f>
        <v/>
      </c>
      <c r="AV181" s="86">
        <f>IF(AI181&lt;&gt;"",IF(AS181&lt;&gt;"","到貨","5次發包中"),IF(AH181&lt;&gt;"",IF(AR181&lt;&gt;"","到貨","4次發包中"),IF(AG181&lt;&gt;"",IF(AQ181&lt;&gt;"","到貨","3次發包中"),IF(AF181&lt;&gt;"",IF(AP181&lt;&gt;"","到貨","2次發包中"),IF(AE181&lt;&gt;"",IF(AO181&lt;&gt;"","到貨","發包中"),"")))))</f>
        <v/>
      </c>
      <c r="AW181" s="86">
        <f>IF(OR($AW$6=Y181),$AW$6,"")</f>
        <v/>
      </c>
      <c r="AX181" s="87">
        <f t="array" ref="AX181">IF(OR(AV181:AW181={"到貨","庫存"}),"完成","")</f>
        <v/>
      </c>
      <c r="AY181" s="92">
        <f>E181*$M$1</f>
        <v/>
      </c>
    </row>
    <row r="182" outlineLevel="1" ht="14.25" customHeight="1">
      <c r="A182" s="43" t="n">
        <v>177</v>
      </c>
      <c r="B182" s="526" t="n"/>
      <c r="C182" s="393" t="n"/>
      <c r="D182" s="427" t="n"/>
      <c r="E182" s="526" t="n"/>
      <c r="F182" s="526" t="n"/>
      <c r="G182" s="527" t="n"/>
      <c r="H182" s="393" t="n"/>
      <c r="I182" s="528" t="n"/>
      <c r="J182" s="528" t="n"/>
      <c r="K182" s="528" t="n"/>
      <c r="L182" s="529" t="n"/>
      <c r="M182" s="529" t="n"/>
      <c r="N182" s="530" t="n"/>
      <c r="O182" s="531" t="n"/>
      <c r="P182" s="527" t="n"/>
      <c r="Q182" s="528" t="n"/>
      <c r="R182" s="528" t="n"/>
      <c r="S182" s="528" t="n"/>
      <c r="T182" s="543" t="n"/>
      <c r="U182" s="534" t="n"/>
      <c r="V182" s="516" t="n"/>
      <c r="W182" s="535" t="n"/>
      <c r="X182" s="536" t="n"/>
      <c r="Y182" s="519" t="n"/>
      <c r="Z182" s="683" t="n"/>
      <c r="AA182" s="684" t="n"/>
      <c r="AB182" s="684" t="n"/>
      <c r="AC182" s="684" t="n"/>
      <c r="AD182" s="685" t="n"/>
      <c r="AE182" s="686" t="n"/>
      <c r="AF182" s="684" t="n"/>
      <c r="AG182" s="687" t="n"/>
      <c r="AH182" s="687" t="n"/>
      <c r="AI182" s="684" t="n"/>
      <c r="AJ182" s="686" t="n"/>
      <c r="AK182" s="687" t="n"/>
      <c r="AL182" s="687" t="n"/>
      <c r="AM182" s="687" t="n"/>
      <c r="AN182" s="688" t="n"/>
      <c r="AO182" s="686" t="n"/>
      <c r="AP182" s="689" t="n"/>
      <c r="AQ182" s="689" t="n"/>
      <c r="AR182" s="689" t="n"/>
      <c r="AS182" s="690" t="n"/>
      <c r="AT182" s="691">
        <f>IF(AJ182&lt;&gt;"",(IF(AV182="到貨","",(AJ182-TODAY()))),"")</f>
        <v/>
      </c>
      <c r="AU182" s="692">
        <f>IF(AO182&lt;&gt;"",(AO182-AE182),"")</f>
        <v/>
      </c>
      <c r="AV182" s="86">
        <f>IF(AI182&lt;&gt;"",IF(AS182&lt;&gt;"","到貨","5次發包中"),IF(AH182&lt;&gt;"",IF(AR182&lt;&gt;"","到貨","4次發包中"),IF(AG182&lt;&gt;"",IF(AQ182&lt;&gt;"","到貨","3次發包中"),IF(AF182&lt;&gt;"",IF(AP182&lt;&gt;"","到貨","2次發包中"),IF(AE182&lt;&gt;"",IF(AO182&lt;&gt;"","到貨","發包中"),"")))))</f>
        <v/>
      </c>
      <c r="AW182" s="86">
        <f>IF(OR($AW$6=Y182),$AW$6,"")</f>
        <v/>
      </c>
      <c r="AX182" s="87">
        <f t="array" ref="AX182">IF(OR(AV182:AW182={"到貨","庫存"}),"完成","")</f>
        <v/>
      </c>
      <c r="AY182" s="92">
        <f>E182*$M$1</f>
        <v/>
      </c>
    </row>
    <row r="183" outlineLevel="1" ht="14.25" customHeight="1">
      <c r="A183" s="43" t="n">
        <v>178</v>
      </c>
      <c r="B183" s="526" t="n"/>
      <c r="C183" s="393" t="n"/>
      <c r="D183" s="427" t="n"/>
      <c r="E183" s="526" t="n"/>
      <c r="F183" s="526" t="n"/>
      <c r="G183" s="527" t="n"/>
      <c r="H183" s="393" t="n"/>
      <c r="I183" s="528" t="n"/>
      <c r="J183" s="528" t="n"/>
      <c r="K183" s="528" t="n"/>
      <c r="L183" s="529" t="n"/>
      <c r="M183" s="529" t="n"/>
      <c r="N183" s="530" t="n"/>
      <c r="O183" s="531" t="n"/>
      <c r="P183" s="527" t="n"/>
      <c r="Q183" s="528" t="n"/>
      <c r="R183" s="528" t="n"/>
      <c r="S183" s="528" t="n"/>
      <c r="T183" s="543" t="n"/>
      <c r="U183" s="534" t="n"/>
      <c r="V183" s="516" t="n"/>
      <c r="W183" s="535" t="n"/>
      <c r="X183" s="536" t="n"/>
      <c r="Y183" s="519" t="n"/>
      <c r="Z183" s="683" t="n"/>
      <c r="AA183" s="684" t="n"/>
      <c r="AB183" s="684" t="n"/>
      <c r="AC183" s="684" t="n"/>
      <c r="AD183" s="685" t="n"/>
      <c r="AE183" s="686" t="n"/>
      <c r="AF183" s="684" t="n"/>
      <c r="AG183" s="687" t="n"/>
      <c r="AH183" s="687" t="n"/>
      <c r="AI183" s="684" t="n"/>
      <c r="AJ183" s="686" t="n"/>
      <c r="AK183" s="687" t="n"/>
      <c r="AL183" s="687" t="n"/>
      <c r="AM183" s="687" t="n"/>
      <c r="AN183" s="688" t="n"/>
      <c r="AO183" s="686" t="n"/>
      <c r="AP183" s="689" t="n"/>
      <c r="AQ183" s="689" t="n"/>
      <c r="AR183" s="689" t="n"/>
      <c r="AS183" s="690" t="n"/>
      <c r="AT183" s="691">
        <f>IF(AJ183&lt;&gt;"",(IF(AV183="到貨","",(AJ183-TODAY()))),"")</f>
        <v/>
      </c>
      <c r="AU183" s="692">
        <f>IF(AO183&lt;&gt;"",(AO183-AE183),"")</f>
        <v/>
      </c>
      <c r="AV183" s="86">
        <f>IF(AI183&lt;&gt;"",IF(AS183&lt;&gt;"","到貨","5次發包中"),IF(AH183&lt;&gt;"",IF(AR183&lt;&gt;"","到貨","4次發包中"),IF(AG183&lt;&gt;"",IF(AQ183&lt;&gt;"","到貨","3次發包中"),IF(AF183&lt;&gt;"",IF(AP183&lt;&gt;"","到貨","2次發包中"),IF(AE183&lt;&gt;"",IF(AO183&lt;&gt;"","到貨","發包中"),"")))))</f>
        <v/>
      </c>
      <c r="AW183" s="86">
        <f>IF(OR($AW$6=Y183),$AW$6,"")</f>
        <v/>
      </c>
      <c r="AX183" s="87">
        <f t="array" ref="AX183">IF(OR(AV183:AW183={"到貨","庫存"}),"完成","")</f>
        <v/>
      </c>
      <c r="AY183" s="92">
        <f>E183*$M$1</f>
        <v/>
      </c>
    </row>
    <row r="184" outlineLevel="1" ht="14.25" customHeight="1">
      <c r="A184" s="43" t="n">
        <v>179</v>
      </c>
      <c r="B184" s="526" t="n"/>
      <c r="C184" s="393" t="n"/>
      <c r="D184" s="427" t="n"/>
      <c r="E184" s="526" t="n"/>
      <c r="F184" s="526" t="n"/>
      <c r="G184" s="527" t="n"/>
      <c r="H184" s="393" t="n"/>
      <c r="I184" s="528" t="n"/>
      <c r="J184" s="528" t="n"/>
      <c r="K184" s="528" t="n"/>
      <c r="L184" s="529" t="n"/>
      <c r="M184" s="529" t="n"/>
      <c r="N184" s="530" t="n"/>
      <c r="O184" s="531" t="n"/>
      <c r="P184" s="527" t="n"/>
      <c r="Q184" s="528" t="n"/>
      <c r="R184" s="528" t="n"/>
      <c r="S184" s="528" t="n"/>
      <c r="T184" s="543" t="n"/>
      <c r="U184" s="534" t="n"/>
      <c r="V184" s="516" t="n"/>
      <c r="W184" s="535" t="n"/>
      <c r="X184" s="536" t="n"/>
      <c r="Y184" s="519" t="n"/>
      <c r="Z184" s="683" t="n"/>
      <c r="AA184" s="684" t="n"/>
      <c r="AB184" s="684" t="n"/>
      <c r="AC184" s="684" t="n"/>
      <c r="AD184" s="685" t="n"/>
      <c r="AE184" s="686" t="n"/>
      <c r="AF184" s="684" t="n"/>
      <c r="AG184" s="687" t="n"/>
      <c r="AH184" s="687" t="n"/>
      <c r="AI184" s="684" t="n"/>
      <c r="AJ184" s="686" t="n"/>
      <c r="AK184" s="687" t="n"/>
      <c r="AL184" s="687" t="n"/>
      <c r="AM184" s="687" t="n"/>
      <c r="AN184" s="688" t="n"/>
      <c r="AO184" s="686" t="n"/>
      <c r="AP184" s="689" t="n"/>
      <c r="AQ184" s="689" t="n"/>
      <c r="AR184" s="689" t="n"/>
      <c r="AS184" s="690" t="n"/>
      <c r="AT184" s="691">
        <f>IF(AJ184&lt;&gt;"",(IF(AV184="到貨","",(AJ184-TODAY()))),"")</f>
        <v/>
      </c>
      <c r="AU184" s="692">
        <f>IF(AO184&lt;&gt;"",(AO184-AE184),"")</f>
        <v/>
      </c>
      <c r="AV184" s="86">
        <f>IF(AI184&lt;&gt;"",IF(AS184&lt;&gt;"","到貨","5次發包中"),IF(AH184&lt;&gt;"",IF(AR184&lt;&gt;"","到貨","4次發包中"),IF(AG184&lt;&gt;"",IF(AQ184&lt;&gt;"","到貨","3次發包中"),IF(AF184&lt;&gt;"",IF(AP184&lt;&gt;"","到貨","2次發包中"),IF(AE184&lt;&gt;"",IF(AO184&lt;&gt;"","到貨","發包中"),"")))))</f>
        <v/>
      </c>
      <c r="AW184" s="86">
        <f>IF(OR($AW$6=Y184),$AW$6,"")</f>
        <v/>
      </c>
      <c r="AX184" s="87">
        <f t="array" ref="AX184">IF(OR(AV184:AW184={"到貨","庫存"}),"完成","")</f>
        <v/>
      </c>
      <c r="AY184" s="92">
        <f>E184*$M$1</f>
        <v/>
      </c>
    </row>
    <row r="185" outlineLevel="1" ht="14.25" customHeight="1">
      <c r="A185" s="43" t="n">
        <v>180</v>
      </c>
      <c r="B185" s="526" t="n"/>
      <c r="C185" s="393" t="n"/>
      <c r="D185" s="427" t="n"/>
      <c r="E185" s="526" t="n"/>
      <c r="F185" s="526" t="n"/>
      <c r="G185" s="527" t="n"/>
      <c r="H185" s="393" t="n"/>
      <c r="I185" s="528" t="n"/>
      <c r="J185" s="528" t="n"/>
      <c r="K185" s="528" t="n"/>
      <c r="L185" s="529" t="n"/>
      <c r="M185" s="529" t="n"/>
      <c r="N185" s="530" t="n"/>
      <c r="O185" s="531" t="n"/>
      <c r="P185" s="527" t="n"/>
      <c r="Q185" s="528" t="n"/>
      <c r="R185" s="528" t="n"/>
      <c r="S185" s="528" t="n"/>
      <c r="T185" s="543" t="n"/>
      <c r="U185" s="534" t="n"/>
      <c r="V185" s="516" t="n"/>
      <c r="W185" s="535" t="n"/>
      <c r="X185" s="536" t="n"/>
      <c r="Y185" s="519" t="n"/>
      <c r="Z185" s="683" t="n"/>
      <c r="AA185" s="684" t="n"/>
      <c r="AB185" s="684" t="n"/>
      <c r="AC185" s="684" t="n"/>
      <c r="AD185" s="685" t="n"/>
      <c r="AE185" s="686" t="n"/>
      <c r="AF185" s="684" t="n"/>
      <c r="AG185" s="687" t="n"/>
      <c r="AH185" s="687" t="n"/>
      <c r="AI185" s="684" t="n"/>
      <c r="AJ185" s="686" t="n"/>
      <c r="AK185" s="687" t="n"/>
      <c r="AL185" s="687" t="n"/>
      <c r="AM185" s="687" t="n"/>
      <c r="AN185" s="688" t="n"/>
      <c r="AO185" s="686" t="n"/>
      <c r="AP185" s="689" t="n"/>
      <c r="AQ185" s="689" t="n"/>
      <c r="AR185" s="689" t="n"/>
      <c r="AS185" s="690" t="n"/>
      <c r="AT185" s="691">
        <f>IF(AJ185&lt;&gt;"",(IF(AV185="到貨","",(AJ185-TODAY()))),"")</f>
        <v/>
      </c>
      <c r="AU185" s="692">
        <f>IF(AO185&lt;&gt;"",(AO185-AE185),"")</f>
        <v/>
      </c>
      <c r="AV185" s="86">
        <f>IF(AI185&lt;&gt;"",IF(AS185&lt;&gt;"","到貨","5次發包中"),IF(AH185&lt;&gt;"",IF(AR185&lt;&gt;"","到貨","4次發包中"),IF(AG185&lt;&gt;"",IF(AQ185&lt;&gt;"","到貨","3次發包中"),IF(AF185&lt;&gt;"",IF(AP185&lt;&gt;"","到貨","2次發包中"),IF(AE185&lt;&gt;"",IF(AO185&lt;&gt;"","到貨","發包中"),"")))))</f>
        <v/>
      </c>
      <c r="AW185" s="86">
        <f>IF(OR($AW$6=Y185),$AW$6,"")</f>
        <v/>
      </c>
      <c r="AX185" s="87">
        <f t="array" ref="AX185">IF(OR(AV185:AW185={"到貨","庫存"}),"完成","")</f>
        <v/>
      </c>
      <c r="AY185" s="92">
        <f>E185*$M$1</f>
        <v/>
      </c>
    </row>
    <row r="186" outlineLevel="1" ht="14.25" customHeight="1">
      <c r="A186" s="43" t="n">
        <v>181</v>
      </c>
      <c r="B186" s="526" t="n"/>
      <c r="C186" s="393" t="n"/>
      <c r="D186" s="427" t="n"/>
      <c r="E186" s="526" t="n"/>
      <c r="F186" s="526" t="n"/>
      <c r="G186" s="527" t="n"/>
      <c r="H186" s="393" t="n"/>
      <c r="I186" s="528" t="n"/>
      <c r="J186" s="528" t="n"/>
      <c r="K186" s="528" t="n"/>
      <c r="L186" s="529" t="n"/>
      <c r="M186" s="529" t="n"/>
      <c r="N186" s="530" t="n"/>
      <c r="O186" s="531" t="n"/>
      <c r="P186" s="527" t="n"/>
      <c r="Q186" s="528" t="n"/>
      <c r="R186" s="528" t="n"/>
      <c r="S186" s="528" t="n"/>
      <c r="T186" s="543" t="n"/>
      <c r="U186" s="534" t="n"/>
      <c r="V186" s="516" t="n"/>
      <c r="W186" s="535" t="n"/>
      <c r="X186" s="536" t="n"/>
      <c r="Y186" s="519" t="n"/>
      <c r="Z186" s="683" t="n"/>
      <c r="AA186" s="684" t="n"/>
      <c r="AB186" s="684" t="n"/>
      <c r="AC186" s="684" t="n"/>
      <c r="AD186" s="685" t="n"/>
      <c r="AE186" s="686" t="n"/>
      <c r="AF186" s="684" t="n"/>
      <c r="AG186" s="687" t="n"/>
      <c r="AH186" s="687" t="n"/>
      <c r="AI186" s="684" t="n"/>
      <c r="AJ186" s="686" t="n"/>
      <c r="AK186" s="687" t="n"/>
      <c r="AL186" s="687" t="n"/>
      <c r="AM186" s="687" t="n"/>
      <c r="AN186" s="688" t="n"/>
      <c r="AO186" s="686" t="n"/>
      <c r="AP186" s="689" t="n"/>
      <c r="AQ186" s="689" t="n"/>
      <c r="AR186" s="689" t="n"/>
      <c r="AS186" s="690" t="n"/>
      <c r="AT186" s="691">
        <f>IF(AJ186&lt;&gt;"",(IF(AV186="到貨","",(AJ186-TODAY()))),"")</f>
        <v/>
      </c>
      <c r="AU186" s="692">
        <f>IF(AO186&lt;&gt;"",(AO186-AE186),"")</f>
        <v/>
      </c>
      <c r="AV186" s="86">
        <f>IF(AI186&lt;&gt;"",IF(AS186&lt;&gt;"","到貨","5次發包中"),IF(AH186&lt;&gt;"",IF(AR186&lt;&gt;"","到貨","4次發包中"),IF(AG186&lt;&gt;"",IF(AQ186&lt;&gt;"","到貨","3次發包中"),IF(AF186&lt;&gt;"",IF(AP186&lt;&gt;"","到貨","2次發包中"),IF(AE186&lt;&gt;"",IF(AO186&lt;&gt;"","到貨","發包中"),"")))))</f>
        <v/>
      </c>
      <c r="AW186" s="86">
        <f>IF(OR($AW$6=Y186),$AW$6,"")</f>
        <v/>
      </c>
      <c r="AX186" s="87">
        <f t="array" ref="AX186">IF(OR(AV186:AW186={"到貨","庫存"}),"完成","")</f>
        <v/>
      </c>
      <c r="AY186" s="92">
        <f>E186*$M$1</f>
        <v/>
      </c>
    </row>
    <row r="187" outlineLevel="1" ht="14.25" customHeight="1">
      <c r="A187" s="43" t="n">
        <v>182</v>
      </c>
      <c r="B187" s="526" t="n"/>
      <c r="C187" s="393" t="n"/>
      <c r="D187" s="427" t="n"/>
      <c r="E187" s="526" t="n"/>
      <c r="F187" s="526" t="n"/>
      <c r="G187" s="527" t="n"/>
      <c r="H187" s="393" t="n"/>
      <c r="I187" s="528" t="n"/>
      <c r="J187" s="528" t="n"/>
      <c r="K187" s="528" t="n"/>
      <c r="L187" s="529" t="n"/>
      <c r="M187" s="529" t="n"/>
      <c r="N187" s="530" t="n"/>
      <c r="O187" s="531" t="n"/>
      <c r="P187" s="527" t="n"/>
      <c r="Q187" s="528" t="n"/>
      <c r="R187" s="528" t="n"/>
      <c r="S187" s="528" t="n"/>
      <c r="T187" s="543" t="n"/>
      <c r="U187" s="534" t="n"/>
      <c r="V187" s="516" t="n"/>
      <c r="W187" s="535" t="n"/>
      <c r="X187" s="536" t="n"/>
      <c r="Y187" s="519" t="n"/>
      <c r="Z187" s="683" t="n"/>
      <c r="AA187" s="684" t="n"/>
      <c r="AB187" s="684" t="n"/>
      <c r="AC187" s="684" t="n"/>
      <c r="AD187" s="685" t="n"/>
      <c r="AE187" s="686" t="n"/>
      <c r="AF187" s="684" t="n"/>
      <c r="AG187" s="687" t="n"/>
      <c r="AH187" s="687" t="n"/>
      <c r="AI187" s="684" t="n"/>
      <c r="AJ187" s="686" t="n"/>
      <c r="AK187" s="687" t="n"/>
      <c r="AL187" s="687" t="n"/>
      <c r="AM187" s="687" t="n"/>
      <c r="AN187" s="688" t="n"/>
      <c r="AO187" s="686" t="n"/>
      <c r="AP187" s="689" t="n"/>
      <c r="AQ187" s="689" t="n"/>
      <c r="AR187" s="689" t="n"/>
      <c r="AS187" s="690" t="n"/>
      <c r="AT187" s="691">
        <f>IF(AJ187&lt;&gt;"",(IF(AV187="到貨","",(AJ187-TODAY()))),"")</f>
        <v/>
      </c>
      <c r="AU187" s="692">
        <f>IF(AO187&lt;&gt;"",(AO187-AE187),"")</f>
        <v/>
      </c>
      <c r="AV187" s="86">
        <f>IF(AI187&lt;&gt;"",IF(AS187&lt;&gt;"","到貨","5次發包中"),IF(AH187&lt;&gt;"",IF(AR187&lt;&gt;"","到貨","4次發包中"),IF(AG187&lt;&gt;"",IF(AQ187&lt;&gt;"","到貨","3次發包中"),IF(AF187&lt;&gt;"",IF(AP187&lt;&gt;"","到貨","2次發包中"),IF(AE187&lt;&gt;"",IF(AO187&lt;&gt;"","到貨","發包中"),"")))))</f>
        <v/>
      </c>
      <c r="AW187" s="86">
        <f>IF(OR($AW$6=Y187),$AW$6,"")</f>
        <v/>
      </c>
      <c r="AX187" s="87">
        <f t="array" ref="AX187">IF(OR(AV187:AW187={"到貨","庫存"}),"完成","")</f>
        <v/>
      </c>
      <c r="AY187" s="92">
        <f>E187*$M$1</f>
        <v/>
      </c>
    </row>
    <row r="188" outlineLevel="1" ht="14.25" customHeight="1">
      <c r="A188" s="43" t="n">
        <v>183</v>
      </c>
      <c r="B188" s="526" t="n"/>
      <c r="C188" s="393" t="n"/>
      <c r="D188" s="427" t="n"/>
      <c r="E188" s="526" t="n"/>
      <c r="F188" s="526" t="n"/>
      <c r="G188" s="527" t="n"/>
      <c r="H188" s="393" t="n"/>
      <c r="I188" s="528" t="n"/>
      <c r="J188" s="528" t="n"/>
      <c r="K188" s="528" t="n"/>
      <c r="L188" s="529" t="n"/>
      <c r="M188" s="529" t="n"/>
      <c r="N188" s="530" t="n"/>
      <c r="O188" s="531" t="n"/>
      <c r="P188" s="527" t="n"/>
      <c r="Q188" s="528" t="n"/>
      <c r="R188" s="528" t="n"/>
      <c r="S188" s="528" t="n"/>
      <c r="T188" s="543" t="n"/>
      <c r="U188" s="534" t="n"/>
      <c r="V188" s="516" t="n"/>
      <c r="W188" s="535" t="n"/>
      <c r="X188" s="536" t="n"/>
      <c r="Y188" s="519" t="n"/>
      <c r="Z188" s="683" t="n"/>
      <c r="AA188" s="684" t="n"/>
      <c r="AB188" s="684" t="n"/>
      <c r="AC188" s="684" t="n"/>
      <c r="AD188" s="685" t="n"/>
      <c r="AE188" s="686" t="n"/>
      <c r="AF188" s="684" t="n"/>
      <c r="AG188" s="687" t="n"/>
      <c r="AH188" s="687" t="n"/>
      <c r="AI188" s="684" t="n"/>
      <c r="AJ188" s="686" t="n"/>
      <c r="AK188" s="687" t="n"/>
      <c r="AL188" s="687" t="n"/>
      <c r="AM188" s="687" t="n"/>
      <c r="AN188" s="688" t="n"/>
      <c r="AO188" s="686" t="n"/>
      <c r="AP188" s="689" t="n"/>
      <c r="AQ188" s="689" t="n"/>
      <c r="AR188" s="689" t="n"/>
      <c r="AS188" s="690" t="n"/>
      <c r="AT188" s="691">
        <f>IF(AJ188&lt;&gt;"",(IF(AV188="到貨","",(AJ188-TODAY()))),"")</f>
        <v/>
      </c>
      <c r="AU188" s="692">
        <f>IF(AO188&lt;&gt;"",(AO188-AE188),"")</f>
        <v/>
      </c>
      <c r="AV188" s="86">
        <f>IF(AI188&lt;&gt;"",IF(AS188&lt;&gt;"","到貨","5次發包中"),IF(AH188&lt;&gt;"",IF(AR188&lt;&gt;"","到貨","4次發包中"),IF(AG188&lt;&gt;"",IF(AQ188&lt;&gt;"","到貨","3次發包中"),IF(AF188&lt;&gt;"",IF(AP188&lt;&gt;"","到貨","2次發包中"),IF(AE188&lt;&gt;"",IF(AO188&lt;&gt;"","到貨","發包中"),"")))))</f>
        <v/>
      </c>
      <c r="AW188" s="86">
        <f>IF(OR($AW$6=Y188),$AW$6,"")</f>
        <v/>
      </c>
      <c r="AX188" s="87">
        <f t="array" ref="AX188">IF(OR(AV188:AW188={"到貨","庫存"}),"完成","")</f>
        <v/>
      </c>
      <c r="AY188" s="92">
        <f>E188*$M$1</f>
        <v/>
      </c>
    </row>
    <row r="189" outlineLevel="1" ht="14.25" customHeight="1">
      <c r="A189" s="43" t="n">
        <v>184</v>
      </c>
      <c r="B189" s="526" t="n"/>
      <c r="C189" s="393" t="n"/>
      <c r="D189" s="427" t="n"/>
      <c r="E189" s="526" t="n"/>
      <c r="F189" s="526" t="n"/>
      <c r="G189" s="527" t="n"/>
      <c r="H189" s="393" t="n"/>
      <c r="I189" s="528" t="n"/>
      <c r="J189" s="528" t="n"/>
      <c r="K189" s="528" t="n"/>
      <c r="L189" s="529" t="n"/>
      <c r="M189" s="529" t="n"/>
      <c r="N189" s="530" t="n"/>
      <c r="O189" s="531" t="n"/>
      <c r="P189" s="527" t="n"/>
      <c r="Q189" s="528" t="n"/>
      <c r="R189" s="528" t="n"/>
      <c r="S189" s="528" t="n"/>
      <c r="T189" s="543" t="n"/>
      <c r="U189" s="534" t="n"/>
      <c r="V189" s="516" t="n"/>
      <c r="W189" s="535" t="n"/>
      <c r="X189" s="536" t="n"/>
      <c r="Y189" s="519" t="n"/>
      <c r="Z189" s="683" t="n"/>
      <c r="AA189" s="684" t="n"/>
      <c r="AB189" s="684" t="n"/>
      <c r="AC189" s="684" t="n"/>
      <c r="AD189" s="685" t="n"/>
      <c r="AE189" s="686" t="n"/>
      <c r="AF189" s="684" t="n"/>
      <c r="AG189" s="687" t="n"/>
      <c r="AH189" s="687" t="n"/>
      <c r="AI189" s="684" t="n"/>
      <c r="AJ189" s="686" t="n"/>
      <c r="AK189" s="687" t="n"/>
      <c r="AL189" s="687" t="n"/>
      <c r="AM189" s="687" t="n"/>
      <c r="AN189" s="688" t="n"/>
      <c r="AO189" s="686" t="n"/>
      <c r="AP189" s="689" t="n"/>
      <c r="AQ189" s="689" t="n"/>
      <c r="AR189" s="689" t="n"/>
      <c r="AS189" s="690" t="n"/>
      <c r="AT189" s="691">
        <f>IF(AJ189&lt;&gt;"",(IF(AV189="到貨","",(AJ189-TODAY()))),"")</f>
        <v/>
      </c>
      <c r="AU189" s="692">
        <f>IF(AO189&lt;&gt;"",(AO189-AE189),"")</f>
        <v/>
      </c>
      <c r="AV189" s="86">
        <f>IF(AI189&lt;&gt;"",IF(AS189&lt;&gt;"","到貨","5次發包中"),IF(AH189&lt;&gt;"",IF(AR189&lt;&gt;"","到貨","4次發包中"),IF(AG189&lt;&gt;"",IF(AQ189&lt;&gt;"","到貨","3次發包中"),IF(AF189&lt;&gt;"",IF(AP189&lt;&gt;"","到貨","2次發包中"),IF(AE189&lt;&gt;"",IF(AO189&lt;&gt;"","到貨","發包中"),"")))))</f>
        <v/>
      </c>
      <c r="AW189" s="86">
        <f>IF(OR($AW$6=Y189),$AW$6,"")</f>
        <v/>
      </c>
      <c r="AX189" s="87">
        <f t="array" ref="AX189">IF(OR(AV189:AW189={"到貨","庫存"}),"完成","")</f>
        <v/>
      </c>
      <c r="AY189" s="92">
        <f>E189*$M$1</f>
        <v/>
      </c>
    </row>
    <row r="190" outlineLevel="1" ht="14.25" customHeight="1">
      <c r="A190" s="43" t="n">
        <v>185</v>
      </c>
      <c r="B190" s="526" t="n"/>
      <c r="C190" s="393" t="n"/>
      <c r="D190" s="427" t="n"/>
      <c r="E190" s="526" t="n"/>
      <c r="F190" s="526" t="n"/>
      <c r="G190" s="527" t="n"/>
      <c r="H190" s="393" t="n"/>
      <c r="I190" s="528" t="n"/>
      <c r="J190" s="528" t="n"/>
      <c r="K190" s="528" t="n"/>
      <c r="L190" s="529" t="n"/>
      <c r="M190" s="529" t="n"/>
      <c r="N190" s="530" t="n"/>
      <c r="O190" s="531" t="n"/>
      <c r="P190" s="527" t="n"/>
      <c r="Q190" s="528" t="n"/>
      <c r="R190" s="528" t="n"/>
      <c r="S190" s="528" t="n"/>
      <c r="T190" s="543" t="n"/>
      <c r="U190" s="534" t="n"/>
      <c r="V190" s="516" t="n"/>
      <c r="W190" s="535" t="n"/>
      <c r="X190" s="536" t="n"/>
      <c r="Y190" s="519" t="n"/>
      <c r="Z190" s="683" t="n"/>
      <c r="AA190" s="684" t="n"/>
      <c r="AB190" s="684" t="n"/>
      <c r="AC190" s="684" t="n"/>
      <c r="AD190" s="685" t="n"/>
      <c r="AE190" s="686" t="n"/>
      <c r="AF190" s="684" t="n"/>
      <c r="AG190" s="687" t="n"/>
      <c r="AH190" s="687" t="n"/>
      <c r="AI190" s="684" t="n"/>
      <c r="AJ190" s="686" t="n"/>
      <c r="AK190" s="687" t="n"/>
      <c r="AL190" s="687" t="n"/>
      <c r="AM190" s="687" t="n"/>
      <c r="AN190" s="688" t="n"/>
      <c r="AO190" s="686" t="n"/>
      <c r="AP190" s="689" t="n"/>
      <c r="AQ190" s="689" t="n"/>
      <c r="AR190" s="689" t="n"/>
      <c r="AS190" s="690" t="n"/>
      <c r="AT190" s="691">
        <f>IF(AJ190&lt;&gt;"",(IF(AV190="到貨","",(AJ190-TODAY()))),"")</f>
        <v/>
      </c>
      <c r="AU190" s="692">
        <f>IF(AO190&lt;&gt;"",(AO190-AE190),"")</f>
        <v/>
      </c>
      <c r="AV190" s="86">
        <f>IF(AI190&lt;&gt;"",IF(AS190&lt;&gt;"","到貨","5次發包中"),IF(AH190&lt;&gt;"",IF(AR190&lt;&gt;"","到貨","4次發包中"),IF(AG190&lt;&gt;"",IF(AQ190&lt;&gt;"","到貨","3次發包中"),IF(AF190&lt;&gt;"",IF(AP190&lt;&gt;"","到貨","2次發包中"),IF(AE190&lt;&gt;"",IF(AO190&lt;&gt;"","到貨","發包中"),"")))))</f>
        <v/>
      </c>
      <c r="AW190" s="86">
        <f>IF(OR($AW$6=Y190),$AW$6,"")</f>
        <v/>
      </c>
      <c r="AX190" s="87">
        <f t="array" ref="AX190">IF(OR(AV190:AW190={"到貨","庫存"}),"完成","")</f>
        <v/>
      </c>
      <c r="AY190" s="92">
        <f>E190*$M$1</f>
        <v/>
      </c>
    </row>
    <row r="191" outlineLevel="1" ht="14.25" customHeight="1">
      <c r="A191" s="43" t="n">
        <v>186</v>
      </c>
      <c r="B191" s="526" t="n"/>
      <c r="C191" s="393" t="n"/>
      <c r="D191" s="427" t="n"/>
      <c r="E191" s="526" t="n"/>
      <c r="F191" s="526" t="n"/>
      <c r="G191" s="527" t="n"/>
      <c r="H191" s="393" t="n"/>
      <c r="I191" s="528" t="n"/>
      <c r="J191" s="528" t="n"/>
      <c r="K191" s="528" t="n"/>
      <c r="L191" s="529" t="n"/>
      <c r="M191" s="529" t="n"/>
      <c r="N191" s="530" t="n"/>
      <c r="O191" s="531" t="n"/>
      <c r="P191" s="527" t="n"/>
      <c r="Q191" s="528" t="n"/>
      <c r="R191" s="528" t="n"/>
      <c r="S191" s="528" t="n"/>
      <c r="T191" s="543" t="n"/>
      <c r="U191" s="534" t="n"/>
      <c r="V191" s="516" t="n"/>
      <c r="W191" s="535" t="n"/>
      <c r="X191" s="536" t="n"/>
      <c r="Y191" s="519" t="n"/>
      <c r="Z191" s="683" t="n"/>
      <c r="AA191" s="684" t="n"/>
      <c r="AB191" s="684" t="n"/>
      <c r="AC191" s="684" t="n"/>
      <c r="AD191" s="685" t="n"/>
      <c r="AE191" s="686" t="n"/>
      <c r="AF191" s="684" t="n"/>
      <c r="AG191" s="687" t="n"/>
      <c r="AH191" s="687" t="n"/>
      <c r="AI191" s="684" t="n"/>
      <c r="AJ191" s="686" t="n"/>
      <c r="AK191" s="687" t="n"/>
      <c r="AL191" s="687" t="n"/>
      <c r="AM191" s="687" t="n"/>
      <c r="AN191" s="688" t="n"/>
      <c r="AO191" s="686" t="n"/>
      <c r="AP191" s="689" t="n"/>
      <c r="AQ191" s="689" t="n"/>
      <c r="AR191" s="689" t="n"/>
      <c r="AS191" s="690" t="n"/>
      <c r="AT191" s="691">
        <f>IF(AJ191&lt;&gt;"",(IF(AV191="到貨","",(AJ191-TODAY()))),"")</f>
        <v/>
      </c>
      <c r="AU191" s="692">
        <f>IF(AO191&lt;&gt;"",(AO191-AE191),"")</f>
        <v/>
      </c>
      <c r="AV191" s="86">
        <f>IF(AI191&lt;&gt;"",IF(AS191&lt;&gt;"","到貨","5次發包中"),IF(AH191&lt;&gt;"",IF(AR191&lt;&gt;"","到貨","4次發包中"),IF(AG191&lt;&gt;"",IF(AQ191&lt;&gt;"","到貨","3次發包中"),IF(AF191&lt;&gt;"",IF(AP191&lt;&gt;"","到貨","2次發包中"),IF(AE191&lt;&gt;"",IF(AO191&lt;&gt;"","到貨","發包中"),"")))))</f>
        <v/>
      </c>
      <c r="AW191" s="86">
        <f>IF(OR($AW$6=Y191),$AW$6,"")</f>
        <v/>
      </c>
      <c r="AX191" s="87">
        <f t="array" ref="AX191">IF(OR(AV191:AW191={"到貨","庫存"}),"完成","")</f>
        <v/>
      </c>
      <c r="AY191" s="92">
        <f>E191*$M$1</f>
        <v/>
      </c>
    </row>
    <row r="192" outlineLevel="1" ht="14.25" customHeight="1">
      <c r="A192" s="43" t="n">
        <v>187</v>
      </c>
      <c r="B192" s="526" t="n"/>
      <c r="C192" s="393" t="n"/>
      <c r="D192" s="427" t="n"/>
      <c r="E192" s="526" t="n"/>
      <c r="F192" s="526" t="n"/>
      <c r="G192" s="527" t="n"/>
      <c r="H192" s="393" t="n"/>
      <c r="I192" s="528" t="n"/>
      <c r="J192" s="528" t="n"/>
      <c r="K192" s="528" t="n"/>
      <c r="L192" s="529" t="n"/>
      <c r="M192" s="529" t="n"/>
      <c r="N192" s="530" t="n"/>
      <c r="O192" s="531" t="n"/>
      <c r="P192" s="527" t="n"/>
      <c r="Q192" s="528" t="n"/>
      <c r="R192" s="528" t="n"/>
      <c r="S192" s="528" t="n"/>
      <c r="T192" s="543" t="n"/>
      <c r="U192" s="534" t="n"/>
      <c r="V192" s="516" t="n"/>
      <c r="W192" s="535" t="n"/>
      <c r="X192" s="536" t="n"/>
      <c r="Y192" s="519" t="n"/>
      <c r="Z192" s="683" t="n"/>
      <c r="AA192" s="684" t="n"/>
      <c r="AB192" s="684" t="n"/>
      <c r="AC192" s="684" t="n"/>
      <c r="AD192" s="685" t="n"/>
      <c r="AE192" s="686" t="n"/>
      <c r="AF192" s="684" t="n"/>
      <c r="AG192" s="687" t="n"/>
      <c r="AH192" s="687" t="n"/>
      <c r="AI192" s="684" t="n"/>
      <c r="AJ192" s="686" t="n"/>
      <c r="AK192" s="687" t="n"/>
      <c r="AL192" s="687" t="n"/>
      <c r="AM192" s="687" t="n"/>
      <c r="AN192" s="688" t="n"/>
      <c r="AO192" s="686" t="n"/>
      <c r="AP192" s="689" t="n"/>
      <c r="AQ192" s="689" t="n"/>
      <c r="AR192" s="689" t="n"/>
      <c r="AS192" s="690" t="n"/>
      <c r="AT192" s="691">
        <f>IF(AJ192&lt;&gt;"",(IF(AV192="到貨","",(AJ192-TODAY()))),"")</f>
        <v/>
      </c>
      <c r="AU192" s="692">
        <f>IF(AO192&lt;&gt;"",(AO192-AE192),"")</f>
        <v/>
      </c>
      <c r="AV192" s="86">
        <f>IF(AI192&lt;&gt;"",IF(AS192&lt;&gt;"","到貨","5次發包中"),IF(AH192&lt;&gt;"",IF(AR192&lt;&gt;"","到貨","4次發包中"),IF(AG192&lt;&gt;"",IF(AQ192&lt;&gt;"","到貨","3次發包中"),IF(AF192&lt;&gt;"",IF(AP192&lt;&gt;"","到貨","2次發包中"),IF(AE192&lt;&gt;"",IF(AO192&lt;&gt;"","到貨","發包中"),"")))))</f>
        <v/>
      </c>
      <c r="AW192" s="86">
        <f>IF(OR($AW$6=Y192),$AW$6,"")</f>
        <v/>
      </c>
      <c r="AX192" s="87">
        <f t="array" ref="AX192">IF(OR(AV192:AW192={"到貨","庫存"}),"完成","")</f>
        <v/>
      </c>
      <c r="AY192" s="92">
        <f>E192*$M$1</f>
        <v/>
      </c>
    </row>
    <row r="193" outlineLevel="1" ht="14.25" customHeight="1">
      <c r="A193" s="43" t="n">
        <v>188</v>
      </c>
      <c r="B193" s="526" t="n"/>
      <c r="C193" s="393" t="n"/>
      <c r="D193" s="427" t="n"/>
      <c r="E193" s="526" t="n"/>
      <c r="F193" s="526" t="n"/>
      <c r="G193" s="527" t="n"/>
      <c r="H193" s="393" t="n"/>
      <c r="I193" s="528" t="n"/>
      <c r="J193" s="528" t="n"/>
      <c r="K193" s="528" t="n"/>
      <c r="L193" s="529" t="n"/>
      <c r="M193" s="529" t="n"/>
      <c r="N193" s="530" t="n"/>
      <c r="O193" s="531" t="n"/>
      <c r="P193" s="527" t="n"/>
      <c r="Q193" s="528" t="n"/>
      <c r="R193" s="528" t="n"/>
      <c r="S193" s="528" t="n"/>
      <c r="T193" s="543" t="n"/>
      <c r="U193" s="534" t="n"/>
      <c r="V193" s="516" t="n"/>
      <c r="W193" s="535" t="n"/>
      <c r="X193" s="536" t="n"/>
      <c r="Y193" s="519" t="n"/>
      <c r="Z193" s="683" t="n"/>
      <c r="AA193" s="684" t="n"/>
      <c r="AB193" s="684" t="n"/>
      <c r="AC193" s="684" t="n"/>
      <c r="AD193" s="685" t="n"/>
      <c r="AE193" s="686" t="n"/>
      <c r="AF193" s="684" t="n"/>
      <c r="AG193" s="687" t="n"/>
      <c r="AH193" s="687" t="n"/>
      <c r="AI193" s="684" t="n"/>
      <c r="AJ193" s="686" t="n"/>
      <c r="AK193" s="687" t="n"/>
      <c r="AL193" s="687" t="n"/>
      <c r="AM193" s="687" t="n"/>
      <c r="AN193" s="688" t="n"/>
      <c r="AO193" s="686" t="n"/>
      <c r="AP193" s="689" t="n"/>
      <c r="AQ193" s="689" t="n"/>
      <c r="AR193" s="689" t="n"/>
      <c r="AS193" s="690" t="n"/>
      <c r="AT193" s="691">
        <f>IF(AJ193&lt;&gt;"",(IF(AV193="到貨","",(AJ193-TODAY()))),"")</f>
        <v/>
      </c>
      <c r="AU193" s="692">
        <f>IF(AO193&lt;&gt;"",(AO193-AE193),"")</f>
        <v/>
      </c>
      <c r="AV193" s="86">
        <f>IF(AI193&lt;&gt;"",IF(AS193&lt;&gt;"","到貨","5次發包中"),IF(AH193&lt;&gt;"",IF(AR193&lt;&gt;"","到貨","4次發包中"),IF(AG193&lt;&gt;"",IF(AQ193&lt;&gt;"","到貨","3次發包中"),IF(AF193&lt;&gt;"",IF(AP193&lt;&gt;"","到貨","2次發包中"),IF(AE193&lt;&gt;"",IF(AO193&lt;&gt;"","到貨","發包中"),"")))))</f>
        <v/>
      </c>
      <c r="AW193" s="86">
        <f>IF(OR($AW$6=Y193),$AW$6,"")</f>
        <v/>
      </c>
      <c r="AX193" s="87">
        <f t="array" ref="AX193">IF(OR(AV193:AW193={"到貨","庫存"}),"完成","")</f>
        <v/>
      </c>
      <c r="AY193" s="92">
        <f>E193*$M$1</f>
        <v/>
      </c>
    </row>
    <row r="194" outlineLevel="1" ht="14.25" customHeight="1">
      <c r="A194" s="43" t="n">
        <v>189</v>
      </c>
      <c r="B194" s="526" t="n"/>
      <c r="C194" s="393" t="n"/>
      <c r="D194" s="427" t="n"/>
      <c r="E194" s="526" t="n"/>
      <c r="F194" s="526" t="n"/>
      <c r="G194" s="527" t="n"/>
      <c r="H194" s="393" t="n"/>
      <c r="I194" s="528" t="n"/>
      <c r="J194" s="528" t="n"/>
      <c r="K194" s="528" t="n"/>
      <c r="L194" s="529" t="n"/>
      <c r="M194" s="529" t="n"/>
      <c r="N194" s="530" t="n"/>
      <c r="O194" s="531" t="n"/>
      <c r="P194" s="527" t="n"/>
      <c r="Q194" s="528" t="n"/>
      <c r="R194" s="528" t="n"/>
      <c r="S194" s="528" t="n"/>
      <c r="T194" s="543" t="n"/>
      <c r="U194" s="534" t="n"/>
      <c r="V194" s="516" t="n"/>
      <c r="W194" s="535" t="n"/>
      <c r="X194" s="536" t="n"/>
      <c r="Y194" s="519" t="n"/>
      <c r="Z194" s="683" t="n"/>
      <c r="AA194" s="684" t="n"/>
      <c r="AB194" s="684" t="n"/>
      <c r="AC194" s="684" t="n"/>
      <c r="AD194" s="685" t="n"/>
      <c r="AE194" s="686" t="n"/>
      <c r="AF194" s="684" t="n"/>
      <c r="AG194" s="687" t="n"/>
      <c r="AH194" s="687" t="n"/>
      <c r="AI194" s="684" t="n"/>
      <c r="AJ194" s="686" t="n"/>
      <c r="AK194" s="687" t="n"/>
      <c r="AL194" s="687" t="n"/>
      <c r="AM194" s="687" t="n"/>
      <c r="AN194" s="688" t="n"/>
      <c r="AO194" s="686" t="n"/>
      <c r="AP194" s="689" t="n"/>
      <c r="AQ194" s="689" t="n"/>
      <c r="AR194" s="689" t="n"/>
      <c r="AS194" s="690" t="n"/>
      <c r="AT194" s="691">
        <f>IF(AJ194&lt;&gt;"",(IF(AV194="到貨","",(AJ194-TODAY()))),"")</f>
        <v/>
      </c>
      <c r="AU194" s="692">
        <f>IF(AO194&lt;&gt;"",(AO194-AE194),"")</f>
        <v/>
      </c>
      <c r="AV194" s="86">
        <f>IF(AI194&lt;&gt;"",IF(AS194&lt;&gt;"","到貨","5次發包中"),IF(AH194&lt;&gt;"",IF(AR194&lt;&gt;"","到貨","4次發包中"),IF(AG194&lt;&gt;"",IF(AQ194&lt;&gt;"","到貨","3次發包中"),IF(AF194&lt;&gt;"",IF(AP194&lt;&gt;"","到貨","2次發包中"),IF(AE194&lt;&gt;"",IF(AO194&lt;&gt;"","到貨","發包中"),"")))))</f>
        <v/>
      </c>
      <c r="AW194" s="86">
        <f>IF(OR($AW$6=Y194),$AW$6,"")</f>
        <v/>
      </c>
      <c r="AX194" s="87">
        <f t="array" ref="AX194">IF(OR(AV194:AW194={"到貨","庫存"}),"完成","")</f>
        <v/>
      </c>
      <c r="AY194" s="92">
        <f>E194*$M$1</f>
        <v/>
      </c>
    </row>
    <row r="195" outlineLevel="1" ht="14.25" customHeight="1">
      <c r="A195" s="43" t="n">
        <v>190</v>
      </c>
      <c r="B195" s="526" t="n"/>
      <c r="C195" s="393" t="n"/>
      <c r="D195" s="427" t="n"/>
      <c r="E195" s="526" t="n"/>
      <c r="F195" s="526" t="n"/>
      <c r="G195" s="527" t="n"/>
      <c r="H195" s="393" t="n"/>
      <c r="I195" s="528" t="n"/>
      <c r="J195" s="528" t="n"/>
      <c r="K195" s="528" t="n"/>
      <c r="L195" s="529" t="n"/>
      <c r="M195" s="529" t="n"/>
      <c r="N195" s="530" t="n"/>
      <c r="O195" s="531" t="n"/>
      <c r="P195" s="527" t="n"/>
      <c r="Q195" s="528" t="n"/>
      <c r="R195" s="528" t="n"/>
      <c r="S195" s="528" t="n"/>
      <c r="T195" s="543" t="n"/>
      <c r="U195" s="534" t="n"/>
      <c r="V195" s="516" t="n"/>
      <c r="W195" s="535" t="n"/>
      <c r="X195" s="536" t="n"/>
      <c r="Y195" s="519" t="n"/>
      <c r="Z195" s="683" t="n"/>
      <c r="AA195" s="684" t="n"/>
      <c r="AB195" s="684" t="n"/>
      <c r="AC195" s="684" t="n"/>
      <c r="AD195" s="685" t="n"/>
      <c r="AE195" s="686" t="n"/>
      <c r="AF195" s="684" t="n"/>
      <c r="AG195" s="687" t="n"/>
      <c r="AH195" s="687" t="n"/>
      <c r="AI195" s="684" t="n"/>
      <c r="AJ195" s="686" t="n"/>
      <c r="AK195" s="687" t="n"/>
      <c r="AL195" s="687" t="n"/>
      <c r="AM195" s="687" t="n"/>
      <c r="AN195" s="688" t="n"/>
      <c r="AO195" s="686" t="n"/>
      <c r="AP195" s="689" t="n"/>
      <c r="AQ195" s="689" t="n"/>
      <c r="AR195" s="689" t="n"/>
      <c r="AS195" s="690" t="n"/>
      <c r="AT195" s="691">
        <f>IF(AJ195&lt;&gt;"",(IF(AV195="到貨","",(AJ195-TODAY()))),"")</f>
        <v/>
      </c>
      <c r="AU195" s="692">
        <f>IF(AO195&lt;&gt;"",(AO195-AE195),"")</f>
        <v/>
      </c>
      <c r="AV195" s="86">
        <f>IF(AI195&lt;&gt;"",IF(AS195&lt;&gt;"","到貨","5次發包中"),IF(AH195&lt;&gt;"",IF(AR195&lt;&gt;"","到貨","4次發包中"),IF(AG195&lt;&gt;"",IF(AQ195&lt;&gt;"","到貨","3次發包中"),IF(AF195&lt;&gt;"",IF(AP195&lt;&gt;"","到貨","2次發包中"),IF(AE195&lt;&gt;"",IF(AO195&lt;&gt;"","到貨","發包中"),"")))))</f>
        <v/>
      </c>
      <c r="AW195" s="86">
        <f>IF(OR($AW$6=Y195),$AW$6,"")</f>
        <v/>
      </c>
      <c r="AX195" s="87">
        <f t="array" ref="AX195">IF(OR(AV195:AW195={"到貨","庫存"}),"完成","")</f>
        <v/>
      </c>
      <c r="AY195" s="92">
        <f>E195*$M$1</f>
        <v/>
      </c>
    </row>
    <row r="196" outlineLevel="1" ht="14.25" customHeight="1">
      <c r="A196" s="43" t="n">
        <v>191</v>
      </c>
      <c r="B196" s="526" t="n"/>
      <c r="C196" s="393" t="n"/>
      <c r="D196" s="427" t="n"/>
      <c r="E196" s="526" t="n"/>
      <c r="F196" s="526" t="n"/>
      <c r="G196" s="527" t="n"/>
      <c r="H196" s="393" t="n"/>
      <c r="I196" s="528" t="n"/>
      <c r="J196" s="528" t="n"/>
      <c r="K196" s="528" t="n"/>
      <c r="L196" s="529" t="n"/>
      <c r="M196" s="529" t="n"/>
      <c r="N196" s="530" t="n"/>
      <c r="O196" s="531" t="n"/>
      <c r="P196" s="527" t="n"/>
      <c r="Q196" s="528" t="n"/>
      <c r="R196" s="528" t="n"/>
      <c r="S196" s="528" t="n"/>
      <c r="T196" s="543" t="n"/>
      <c r="U196" s="534" t="n"/>
      <c r="V196" s="516" t="n"/>
      <c r="W196" s="535" t="n"/>
      <c r="X196" s="536" t="n"/>
      <c r="Y196" s="519" t="n"/>
      <c r="Z196" s="683" t="n"/>
      <c r="AA196" s="684" t="n"/>
      <c r="AB196" s="684" t="n"/>
      <c r="AC196" s="684" t="n"/>
      <c r="AD196" s="685" t="n"/>
      <c r="AE196" s="686" t="n"/>
      <c r="AF196" s="684" t="n"/>
      <c r="AG196" s="687" t="n"/>
      <c r="AH196" s="687" t="n"/>
      <c r="AI196" s="684" t="n"/>
      <c r="AJ196" s="686" t="n"/>
      <c r="AK196" s="687" t="n"/>
      <c r="AL196" s="687" t="n"/>
      <c r="AM196" s="687" t="n"/>
      <c r="AN196" s="688" t="n"/>
      <c r="AO196" s="686" t="n"/>
      <c r="AP196" s="689" t="n"/>
      <c r="AQ196" s="689" t="n"/>
      <c r="AR196" s="689" t="n"/>
      <c r="AS196" s="690" t="n"/>
      <c r="AT196" s="691">
        <f>IF(AJ196&lt;&gt;"",(IF(AV196="到貨","",(AJ196-TODAY()))),"")</f>
        <v/>
      </c>
      <c r="AU196" s="692">
        <f>IF(AO196&lt;&gt;"",(AO196-AE196),"")</f>
        <v/>
      </c>
      <c r="AV196" s="86">
        <f>IF(AI196&lt;&gt;"",IF(AS196&lt;&gt;"","到貨","5次發包中"),IF(AH196&lt;&gt;"",IF(AR196&lt;&gt;"","到貨","4次發包中"),IF(AG196&lt;&gt;"",IF(AQ196&lt;&gt;"","到貨","3次發包中"),IF(AF196&lt;&gt;"",IF(AP196&lt;&gt;"","到貨","2次發包中"),IF(AE196&lt;&gt;"",IF(AO196&lt;&gt;"","到貨","發包中"),"")))))</f>
        <v/>
      </c>
      <c r="AW196" s="86">
        <f>IF(OR($AW$6=Y196),$AW$6,"")</f>
        <v/>
      </c>
      <c r="AX196" s="87">
        <f t="array" ref="AX196">IF(OR(AV196:AW196={"到貨","庫存"}),"完成","")</f>
        <v/>
      </c>
      <c r="AY196" s="92">
        <f>E196*$M$1</f>
        <v/>
      </c>
    </row>
    <row r="197" outlineLevel="1" ht="14.25" customHeight="1">
      <c r="A197" s="43" t="n">
        <v>192</v>
      </c>
      <c r="B197" s="526" t="n"/>
      <c r="C197" s="393" t="n"/>
      <c r="D197" s="427" t="n"/>
      <c r="E197" s="526" t="n"/>
      <c r="F197" s="526" t="n"/>
      <c r="G197" s="527" t="n"/>
      <c r="H197" s="393" t="n"/>
      <c r="I197" s="528" t="n"/>
      <c r="J197" s="528" t="n"/>
      <c r="K197" s="528" t="n"/>
      <c r="L197" s="529" t="n"/>
      <c r="M197" s="529" t="n"/>
      <c r="N197" s="530" t="n"/>
      <c r="O197" s="531" t="n"/>
      <c r="P197" s="527" t="n"/>
      <c r="Q197" s="528" t="n"/>
      <c r="R197" s="528" t="n"/>
      <c r="S197" s="528" t="n"/>
      <c r="T197" s="543" t="n"/>
      <c r="U197" s="534" t="n"/>
      <c r="V197" s="516" t="n"/>
      <c r="W197" s="535" t="n"/>
      <c r="X197" s="536" t="n"/>
      <c r="Y197" s="519" t="n"/>
      <c r="Z197" s="683" t="n"/>
      <c r="AA197" s="684" t="n"/>
      <c r="AB197" s="684" t="n"/>
      <c r="AC197" s="684" t="n"/>
      <c r="AD197" s="685" t="n"/>
      <c r="AE197" s="686" t="n"/>
      <c r="AF197" s="684" t="n"/>
      <c r="AG197" s="687" t="n"/>
      <c r="AH197" s="687" t="n"/>
      <c r="AI197" s="684" t="n"/>
      <c r="AJ197" s="686" t="n"/>
      <c r="AK197" s="687" t="n"/>
      <c r="AL197" s="687" t="n"/>
      <c r="AM197" s="687" t="n"/>
      <c r="AN197" s="688" t="n"/>
      <c r="AO197" s="686" t="n"/>
      <c r="AP197" s="689" t="n"/>
      <c r="AQ197" s="689" t="n"/>
      <c r="AR197" s="689" t="n"/>
      <c r="AS197" s="690" t="n"/>
      <c r="AT197" s="691">
        <f>IF(AJ197&lt;&gt;"",(IF(AV197="到貨","",(AJ197-TODAY()))),"")</f>
        <v/>
      </c>
      <c r="AU197" s="692">
        <f>IF(AO197&lt;&gt;"",(AO197-AE197),"")</f>
        <v/>
      </c>
      <c r="AV197" s="86">
        <f>IF(AI197&lt;&gt;"",IF(AS197&lt;&gt;"","到貨","5次發包中"),IF(AH197&lt;&gt;"",IF(AR197&lt;&gt;"","到貨","4次發包中"),IF(AG197&lt;&gt;"",IF(AQ197&lt;&gt;"","到貨","3次發包中"),IF(AF197&lt;&gt;"",IF(AP197&lt;&gt;"","到貨","2次發包中"),IF(AE197&lt;&gt;"",IF(AO197&lt;&gt;"","到貨","發包中"),"")))))</f>
        <v/>
      </c>
      <c r="AW197" s="86">
        <f>IF(OR($AW$6=Y197),$AW$6,"")</f>
        <v/>
      </c>
      <c r="AX197" s="87">
        <f t="array" ref="AX197">IF(OR(AV197:AW197={"到貨","庫存"}),"完成","")</f>
        <v/>
      </c>
      <c r="AY197" s="92">
        <f>E197*$M$1</f>
        <v/>
      </c>
    </row>
    <row r="198" outlineLevel="1" ht="14.25" customHeight="1">
      <c r="A198" s="43" t="n">
        <v>193</v>
      </c>
      <c r="B198" s="526" t="n"/>
      <c r="C198" s="393" t="n"/>
      <c r="D198" s="427" t="n"/>
      <c r="E198" s="526" t="n"/>
      <c r="F198" s="526" t="n"/>
      <c r="G198" s="527" t="n"/>
      <c r="H198" s="393" t="n"/>
      <c r="I198" s="528" t="n"/>
      <c r="J198" s="528" t="n"/>
      <c r="K198" s="528" t="n"/>
      <c r="L198" s="529" t="n"/>
      <c r="M198" s="529" t="n"/>
      <c r="N198" s="530" t="n"/>
      <c r="O198" s="531" t="n"/>
      <c r="P198" s="527" t="n"/>
      <c r="Q198" s="528" t="n"/>
      <c r="R198" s="528" t="n"/>
      <c r="S198" s="528" t="n"/>
      <c r="T198" s="543" t="n"/>
      <c r="U198" s="534" t="n"/>
      <c r="V198" s="516" t="n"/>
      <c r="W198" s="535" t="n"/>
      <c r="X198" s="536" t="n"/>
      <c r="Y198" s="519" t="n"/>
      <c r="Z198" s="683" t="n"/>
      <c r="AA198" s="684" t="n"/>
      <c r="AB198" s="684" t="n"/>
      <c r="AC198" s="684" t="n"/>
      <c r="AD198" s="685" t="n"/>
      <c r="AE198" s="686" t="n"/>
      <c r="AF198" s="684" t="n"/>
      <c r="AG198" s="687" t="n"/>
      <c r="AH198" s="687" t="n"/>
      <c r="AI198" s="684" t="n"/>
      <c r="AJ198" s="686" t="n"/>
      <c r="AK198" s="687" t="n"/>
      <c r="AL198" s="687" t="n"/>
      <c r="AM198" s="687" t="n"/>
      <c r="AN198" s="688" t="n"/>
      <c r="AO198" s="686" t="n"/>
      <c r="AP198" s="689" t="n"/>
      <c r="AQ198" s="689" t="n"/>
      <c r="AR198" s="689" t="n"/>
      <c r="AS198" s="690" t="n"/>
      <c r="AT198" s="691">
        <f>IF(AJ198&lt;&gt;"",(IF(AV198="到貨","",(AJ198-TODAY()))),"")</f>
        <v/>
      </c>
      <c r="AU198" s="692">
        <f>IF(AO198&lt;&gt;"",(AO198-AE198),"")</f>
        <v/>
      </c>
      <c r="AV198" s="86">
        <f>IF(AI198&lt;&gt;"",IF(AS198&lt;&gt;"","到貨","5次發包中"),IF(AH198&lt;&gt;"",IF(AR198&lt;&gt;"","到貨","4次發包中"),IF(AG198&lt;&gt;"",IF(AQ198&lt;&gt;"","到貨","3次發包中"),IF(AF198&lt;&gt;"",IF(AP198&lt;&gt;"","到貨","2次發包中"),IF(AE198&lt;&gt;"",IF(AO198&lt;&gt;"","到貨","發包中"),"")))))</f>
        <v/>
      </c>
      <c r="AW198" s="86">
        <f>IF(OR($AW$6=Y198),$AW$6,"")</f>
        <v/>
      </c>
      <c r="AX198" s="87">
        <f t="array" ref="AX198">IF(OR(AV198:AW198={"到貨","庫存"}),"完成","")</f>
        <v/>
      </c>
      <c r="AY198" s="92">
        <f>E198*$M$1</f>
        <v/>
      </c>
    </row>
    <row r="199" outlineLevel="1" ht="14.25" customHeight="1">
      <c r="A199" s="43" t="n">
        <v>194</v>
      </c>
      <c r="B199" s="526" t="n"/>
      <c r="C199" s="393" t="n"/>
      <c r="D199" s="427" t="n"/>
      <c r="E199" s="526" t="n"/>
      <c r="F199" s="526" t="n"/>
      <c r="G199" s="527" t="n"/>
      <c r="H199" s="393" t="n"/>
      <c r="I199" s="528" t="n"/>
      <c r="J199" s="528" t="n"/>
      <c r="K199" s="528" t="n"/>
      <c r="L199" s="529" t="n"/>
      <c r="M199" s="529" t="n"/>
      <c r="N199" s="530" t="n"/>
      <c r="O199" s="531" t="n"/>
      <c r="P199" s="527" t="n"/>
      <c r="Q199" s="528" t="n"/>
      <c r="R199" s="528" t="n"/>
      <c r="S199" s="528" t="n"/>
      <c r="T199" s="543" t="n"/>
      <c r="U199" s="534" t="n"/>
      <c r="V199" s="516" t="n"/>
      <c r="W199" s="535" t="n"/>
      <c r="X199" s="536" t="n"/>
      <c r="Y199" s="519" t="n"/>
      <c r="Z199" s="683" t="n"/>
      <c r="AA199" s="684" t="n"/>
      <c r="AB199" s="684" t="n"/>
      <c r="AC199" s="684" t="n"/>
      <c r="AD199" s="685" t="n"/>
      <c r="AE199" s="686" t="n"/>
      <c r="AF199" s="684" t="n"/>
      <c r="AG199" s="687" t="n"/>
      <c r="AH199" s="687" t="n"/>
      <c r="AI199" s="684" t="n"/>
      <c r="AJ199" s="686" t="n"/>
      <c r="AK199" s="687" t="n"/>
      <c r="AL199" s="687" t="n"/>
      <c r="AM199" s="687" t="n"/>
      <c r="AN199" s="688" t="n"/>
      <c r="AO199" s="686" t="n"/>
      <c r="AP199" s="689" t="n"/>
      <c r="AQ199" s="689" t="n"/>
      <c r="AR199" s="689" t="n"/>
      <c r="AS199" s="690" t="n"/>
      <c r="AT199" s="691">
        <f>IF(AJ199&lt;&gt;"",(IF(AV199="到貨","",(AJ199-TODAY()))),"")</f>
        <v/>
      </c>
      <c r="AU199" s="692">
        <f>IF(AO199&lt;&gt;"",(AO199-AE199),"")</f>
        <v/>
      </c>
      <c r="AV199" s="86">
        <f>IF(AI199&lt;&gt;"",IF(AS199&lt;&gt;"","到貨","5次發包中"),IF(AH199&lt;&gt;"",IF(AR199&lt;&gt;"","到貨","4次發包中"),IF(AG199&lt;&gt;"",IF(AQ199&lt;&gt;"","到貨","3次發包中"),IF(AF199&lt;&gt;"",IF(AP199&lt;&gt;"","到貨","2次發包中"),IF(AE199&lt;&gt;"",IF(AO199&lt;&gt;"","到貨","發包中"),"")))))</f>
        <v/>
      </c>
      <c r="AW199" s="86">
        <f>IF(OR($AW$6=Y199),$AW$6,"")</f>
        <v/>
      </c>
      <c r="AX199" s="87">
        <f t="array" ref="AX199">IF(OR(AV199:AW199={"到貨","庫存"}),"完成","")</f>
        <v/>
      </c>
      <c r="AY199" s="92">
        <f>E199*$M$1</f>
        <v/>
      </c>
    </row>
    <row r="200" outlineLevel="1" ht="14.25" customHeight="1">
      <c r="A200" s="43" t="n">
        <v>195</v>
      </c>
      <c r="B200" s="526" t="n"/>
      <c r="C200" s="393" t="n"/>
      <c r="D200" s="427" t="n"/>
      <c r="E200" s="526" t="n"/>
      <c r="F200" s="526" t="n"/>
      <c r="G200" s="527" t="n"/>
      <c r="H200" s="393" t="n"/>
      <c r="I200" s="528" t="n"/>
      <c r="J200" s="528" t="n"/>
      <c r="K200" s="528" t="n"/>
      <c r="L200" s="529" t="n"/>
      <c r="M200" s="529" t="n"/>
      <c r="N200" s="530" t="n"/>
      <c r="O200" s="531" t="n"/>
      <c r="P200" s="527" t="n"/>
      <c r="Q200" s="528" t="n"/>
      <c r="R200" s="528" t="n"/>
      <c r="S200" s="528" t="n"/>
      <c r="T200" s="543" t="n"/>
      <c r="U200" s="534" t="n"/>
      <c r="V200" s="516" t="n"/>
      <c r="W200" s="535" t="n"/>
      <c r="X200" s="536" t="n"/>
      <c r="Y200" s="519" t="n"/>
      <c r="Z200" s="683" t="n"/>
      <c r="AA200" s="684" t="n"/>
      <c r="AB200" s="684" t="n"/>
      <c r="AC200" s="684" t="n"/>
      <c r="AD200" s="685" t="n"/>
      <c r="AE200" s="686" t="n"/>
      <c r="AF200" s="684" t="n"/>
      <c r="AG200" s="687" t="n"/>
      <c r="AH200" s="687" t="n"/>
      <c r="AI200" s="684" t="n"/>
      <c r="AJ200" s="686" t="n"/>
      <c r="AK200" s="687" t="n"/>
      <c r="AL200" s="687" t="n"/>
      <c r="AM200" s="687" t="n"/>
      <c r="AN200" s="688" t="n"/>
      <c r="AO200" s="686" t="n"/>
      <c r="AP200" s="689" t="n"/>
      <c r="AQ200" s="689" t="n"/>
      <c r="AR200" s="689" t="n"/>
      <c r="AS200" s="690" t="n"/>
      <c r="AT200" s="691">
        <f>IF(AJ200&lt;&gt;"",(IF(AV200="到貨","",(AJ200-TODAY()))),"")</f>
        <v/>
      </c>
      <c r="AU200" s="692">
        <f>IF(AO200&lt;&gt;"",(AO200-AE200),"")</f>
        <v/>
      </c>
      <c r="AV200" s="86">
        <f>IF(AI200&lt;&gt;"",IF(AS200&lt;&gt;"","到貨","5次發包中"),IF(AH200&lt;&gt;"",IF(AR200&lt;&gt;"","到貨","4次發包中"),IF(AG200&lt;&gt;"",IF(AQ200&lt;&gt;"","到貨","3次發包中"),IF(AF200&lt;&gt;"",IF(AP200&lt;&gt;"","到貨","2次發包中"),IF(AE200&lt;&gt;"",IF(AO200&lt;&gt;"","到貨","發包中"),"")))))</f>
        <v/>
      </c>
      <c r="AW200" s="86">
        <f>IF(OR($AW$6=Y200),$AW$6,"")</f>
        <v/>
      </c>
      <c r="AX200" s="87">
        <f t="array" ref="AX200">IF(OR(AV200:AW200={"到貨","庫存"}),"完成","")</f>
        <v/>
      </c>
      <c r="AY200" s="92">
        <f>E200*$M$1</f>
        <v/>
      </c>
    </row>
    <row r="201" outlineLevel="1" ht="14.25" customHeight="1">
      <c r="A201" s="43" t="n">
        <v>196</v>
      </c>
      <c r="B201" s="526" t="n"/>
      <c r="C201" s="393" t="n"/>
      <c r="D201" s="427" t="n"/>
      <c r="E201" s="526" t="n"/>
      <c r="F201" s="526" t="n"/>
      <c r="G201" s="527" t="n"/>
      <c r="H201" s="393" t="n"/>
      <c r="I201" s="528" t="n"/>
      <c r="J201" s="528" t="n"/>
      <c r="K201" s="528" t="n"/>
      <c r="L201" s="529" t="n"/>
      <c r="M201" s="529" t="n"/>
      <c r="N201" s="530" t="n"/>
      <c r="O201" s="531" t="n"/>
      <c r="P201" s="527" t="n"/>
      <c r="Q201" s="528" t="n"/>
      <c r="R201" s="528" t="n"/>
      <c r="S201" s="528" t="n"/>
      <c r="T201" s="543" t="n"/>
      <c r="U201" s="534" t="n"/>
      <c r="V201" s="516" t="n"/>
      <c r="W201" s="535" t="n"/>
      <c r="X201" s="536" t="n"/>
      <c r="Y201" s="519" t="n"/>
      <c r="Z201" s="683" t="n"/>
      <c r="AA201" s="684" t="n"/>
      <c r="AB201" s="684" t="n"/>
      <c r="AC201" s="684" t="n"/>
      <c r="AD201" s="685" t="n"/>
      <c r="AE201" s="686" t="n"/>
      <c r="AF201" s="684" t="n"/>
      <c r="AG201" s="687" t="n"/>
      <c r="AH201" s="687" t="n"/>
      <c r="AI201" s="684" t="n"/>
      <c r="AJ201" s="686" t="n"/>
      <c r="AK201" s="687" t="n"/>
      <c r="AL201" s="687" t="n"/>
      <c r="AM201" s="687" t="n"/>
      <c r="AN201" s="688" t="n"/>
      <c r="AO201" s="686" t="n"/>
      <c r="AP201" s="689" t="n"/>
      <c r="AQ201" s="689" t="n"/>
      <c r="AR201" s="689" t="n"/>
      <c r="AS201" s="690" t="n"/>
      <c r="AT201" s="691">
        <f>IF(AJ201&lt;&gt;"",(IF(AV201="到貨","",(AJ201-TODAY()))),"")</f>
        <v/>
      </c>
      <c r="AU201" s="692">
        <f>IF(AO201&lt;&gt;"",(AO201-AE201),"")</f>
        <v/>
      </c>
      <c r="AV201" s="86">
        <f>IF(AI201&lt;&gt;"",IF(AS201&lt;&gt;"","到貨","5次發包中"),IF(AH201&lt;&gt;"",IF(AR201&lt;&gt;"","到貨","4次發包中"),IF(AG201&lt;&gt;"",IF(AQ201&lt;&gt;"","到貨","3次發包中"),IF(AF201&lt;&gt;"",IF(AP201&lt;&gt;"","到貨","2次發包中"),IF(AE201&lt;&gt;"",IF(AO201&lt;&gt;"","到貨","發包中"),"")))))</f>
        <v/>
      </c>
      <c r="AW201" s="86">
        <f>IF(OR($AW$6=Y201),$AW$6,"")</f>
        <v/>
      </c>
      <c r="AX201" s="87">
        <f t="array" ref="AX201">IF(OR(AV201:AW201={"到貨","庫存"}),"完成","")</f>
        <v/>
      </c>
      <c r="AY201" s="92">
        <f>E201*$M$1</f>
        <v/>
      </c>
    </row>
    <row r="202" outlineLevel="1" ht="14.25" customHeight="1">
      <c r="A202" s="43" t="n">
        <v>197</v>
      </c>
      <c r="B202" s="526" t="n"/>
      <c r="C202" s="393" t="n"/>
      <c r="D202" s="427" t="n"/>
      <c r="E202" s="526" t="n"/>
      <c r="F202" s="526" t="n"/>
      <c r="G202" s="527" t="n"/>
      <c r="H202" s="393" t="n"/>
      <c r="I202" s="528" t="n"/>
      <c r="J202" s="528" t="n"/>
      <c r="K202" s="528" t="n"/>
      <c r="L202" s="529" t="n"/>
      <c r="M202" s="529" t="n"/>
      <c r="N202" s="530" t="n"/>
      <c r="O202" s="531" t="n"/>
      <c r="P202" s="527" t="n"/>
      <c r="Q202" s="528" t="n"/>
      <c r="R202" s="528" t="n"/>
      <c r="S202" s="528" t="n"/>
      <c r="T202" s="543" t="n"/>
      <c r="U202" s="534" t="n"/>
      <c r="V202" s="516" t="n"/>
      <c r="W202" s="535" t="n"/>
      <c r="X202" s="536" t="n"/>
      <c r="Y202" s="519" t="n"/>
      <c r="Z202" s="683" t="n"/>
      <c r="AA202" s="684" t="n"/>
      <c r="AB202" s="684" t="n"/>
      <c r="AC202" s="684" t="n"/>
      <c r="AD202" s="685" t="n"/>
      <c r="AE202" s="686" t="n"/>
      <c r="AF202" s="684" t="n"/>
      <c r="AG202" s="687" t="n"/>
      <c r="AH202" s="687" t="n"/>
      <c r="AI202" s="684" t="n"/>
      <c r="AJ202" s="686" t="n"/>
      <c r="AK202" s="687" t="n"/>
      <c r="AL202" s="687" t="n"/>
      <c r="AM202" s="687" t="n"/>
      <c r="AN202" s="688" t="n"/>
      <c r="AO202" s="686" t="n"/>
      <c r="AP202" s="689" t="n"/>
      <c r="AQ202" s="689" t="n"/>
      <c r="AR202" s="689" t="n"/>
      <c r="AS202" s="690" t="n"/>
      <c r="AT202" s="691">
        <f>IF(AJ202&lt;&gt;"",(IF(AV202="到貨","",(AJ202-TODAY()))),"")</f>
        <v/>
      </c>
      <c r="AU202" s="692">
        <f>IF(AO202&lt;&gt;"",(AO202-AE202),"")</f>
        <v/>
      </c>
      <c r="AV202" s="86">
        <f>IF(AI202&lt;&gt;"",IF(AS202&lt;&gt;"","到貨","5次發包中"),IF(AH202&lt;&gt;"",IF(AR202&lt;&gt;"","到貨","4次發包中"),IF(AG202&lt;&gt;"",IF(AQ202&lt;&gt;"","到貨","3次發包中"),IF(AF202&lt;&gt;"",IF(AP202&lt;&gt;"","到貨","2次發包中"),IF(AE202&lt;&gt;"",IF(AO202&lt;&gt;"","到貨","發包中"),"")))))</f>
        <v/>
      </c>
      <c r="AW202" s="86">
        <f>IF(OR($AW$6=Y202),$AW$6,"")</f>
        <v/>
      </c>
      <c r="AX202" s="87">
        <f t="array" ref="AX202">IF(OR(AV202:AW202={"到貨","庫存"}),"完成","")</f>
        <v/>
      </c>
      <c r="AY202" s="92">
        <f>E202*$M$1</f>
        <v/>
      </c>
    </row>
    <row r="203" outlineLevel="1" ht="14.25" customHeight="1">
      <c r="A203" s="43" t="n">
        <v>198</v>
      </c>
      <c r="B203" s="526" t="n"/>
      <c r="C203" s="393" t="n"/>
      <c r="D203" s="427" t="n"/>
      <c r="E203" s="526" t="n"/>
      <c r="F203" s="526" t="n"/>
      <c r="G203" s="527" t="n"/>
      <c r="H203" s="393" t="n"/>
      <c r="I203" s="528" t="n"/>
      <c r="J203" s="528" t="n"/>
      <c r="K203" s="528" t="n"/>
      <c r="L203" s="529" t="n"/>
      <c r="M203" s="529" t="n"/>
      <c r="N203" s="530" t="n"/>
      <c r="O203" s="531" t="n"/>
      <c r="P203" s="527" t="n"/>
      <c r="Q203" s="528" t="n"/>
      <c r="R203" s="528" t="n"/>
      <c r="S203" s="528" t="n"/>
      <c r="T203" s="543" t="n"/>
      <c r="U203" s="534" t="n"/>
      <c r="V203" s="516" t="n"/>
      <c r="W203" s="535" t="n"/>
      <c r="X203" s="536" t="n"/>
      <c r="Y203" s="519" t="n"/>
      <c r="Z203" s="683" t="n"/>
      <c r="AA203" s="684" t="n"/>
      <c r="AB203" s="684" t="n"/>
      <c r="AC203" s="684" t="n"/>
      <c r="AD203" s="685" t="n"/>
      <c r="AE203" s="686" t="n"/>
      <c r="AF203" s="684" t="n"/>
      <c r="AG203" s="687" t="n"/>
      <c r="AH203" s="687" t="n"/>
      <c r="AI203" s="684" t="n"/>
      <c r="AJ203" s="686" t="n"/>
      <c r="AK203" s="687" t="n"/>
      <c r="AL203" s="687" t="n"/>
      <c r="AM203" s="687" t="n"/>
      <c r="AN203" s="688" t="n"/>
      <c r="AO203" s="686" t="n"/>
      <c r="AP203" s="689" t="n"/>
      <c r="AQ203" s="689" t="n"/>
      <c r="AR203" s="689" t="n"/>
      <c r="AS203" s="690" t="n"/>
      <c r="AT203" s="691">
        <f>IF(AJ203&lt;&gt;"",(IF(AV203="到貨","",(AJ203-TODAY()))),"")</f>
        <v/>
      </c>
      <c r="AU203" s="692">
        <f>IF(AO203&lt;&gt;"",(AO203-AE203),"")</f>
        <v/>
      </c>
      <c r="AV203" s="86">
        <f>IF(AI203&lt;&gt;"",IF(AS203&lt;&gt;"","到貨","5次發包中"),IF(AH203&lt;&gt;"",IF(AR203&lt;&gt;"","到貨","4次發包中"),IF(AG203&lt;&gt;"",IF(AQ203&lt;&gt;"","到貨","3次發包中"),IF(AF203&lt;&gt;"",IF(AP203&lt;&gt;"","到貨","2次發包中"),IF(AE203&lt;&gt;"",IF(AO203&lt;&gt;"","到貨","發包中"),"")))))</f>
        <v/>
      </c>
      <c r="AW203" s="86">
        <f>IF(OR($AW$6=Y203),$AW$6,"")</f>
        <v/>
      </c>
      <c r="AX203" s="87">
        <f t="array" ref="AX203">IF(OR(AV203:AW203={"到貨","庫存"}),"完成","")</f>
        <v/>
      </c>
      <c r="AY203" s="92">
        <f>E203*$M$1</f>
        <v/>
      </c>
    </row>
    <row r="204" outlineLevel="1" ht="14.25" customHeight="1">
      <c r="A204" s="43" t="n">
        <v>199</v>
      </c>
      <c r="B204" s="526" t="n"/>
      <c r="C204" s="393" t="n"/>
      <c r="D204" s="427" t="n"/>
      <c r="E204" s="526" t="n"/>
      <c r="F204" s="526" t="n"/>
      <c r="G204" s="527" t="n"/>
      <c r="H204" s="393" t="n"/>
      <c r="I204" s="528" t="n"/>
      <c r="J204" s="528" t="n"/>
      <c r="K204" s="528" t="n"/>
      <c r="L204" s="529" t="n"/>
      <c r="M204" s="529" t="n"/>
      <c r="N204" s="530" t="n"/>
      <c r="O204" s="531" t="n"/>
      <c r="P204" s="527" t="n"/>
      <c r="Q204" s="528" t="n"/>
      <c r="R204" s="528" t="n"/>
      <c r="S204" s="528" t="n"/>
      <c r="T204" s="543" t="n"/>
      <c r="U204" s="534" t="n"/>
      <c r="V204" s="516" t="n"/>
      <c r="W204" s="535" t="n"/>
      <c r="X204" s="536" t="n"/>
      <c r="Y204" s="519" t="n"/>
      <c r="Z204" s="683" t="n"/>
      <c r="AA204" s="684" t="n"/>
      <c r="AB204" s="684" t="n"/>
      <c r="AC204" s="684" t="n"/>
      <c r="AD204" s="685" t="n"/>
      <c r="AE204" s="686" t="n"/>
      <c r="AF204" s="684" t="n"/>
      <c r="AG204" s="687" t="n"/>
      <c r="AH204" s="687" t="n"/>
      <c r="AI204" s="684" t="n"/>
      <c r="AJ204" s="686" t="n"/>
      <c r="AK204" s="687" t="n"/>
      <c r="AL204" s="687" t="n"/>
      <c r="AM204" s="687" t="n"/>
      <c r="AN204" s="688" t="n"/>
      <c r="AO204" s="686" t="n"/>
      <c r="AP204" s="689" t="n"/>
      <c r="AQ204" s="689" t="n"/>
      <c r="AR204" s="689" t="n"/>
      <c r="AS204" s="690" t="n"/>
      <c r="AT204" s="691">
        <f>IF(AJ204&lt;&gt;"",(IF(AV204="到貨","",(AJ204-TODAY()))),"")</f>
        <v/>
      </c>
      <c r="AU204" s="692">
        <f>IF(AO204&lt;&gt;"",(AO204-AE204),"")</f>
        <v/>
      </c>
      <c r="AV204" s="86">
        <f>IF(AI204&lt;&gt;"",IF(AS204&lt;&gt;"","到貨","5次發包中"),IF(AH204&lt;&gt;"",IF(AR204&lt;&gt;"","到貨","4次發包中"),IF(AG204&lt;&gt;"",IF(AQ204&lt;&gt;"","到貨","3次發包中"),IF(AF204&lt;&gt;"",IF(AP204&lt;&gt;"","到貨","2次發包中"),IF(AE204&lt;&gt;"",IF(AO204&lt;&gt;"","到貨","發包中"),"")))))</f>
        <v/>
      </c>
      <c r="AW204" s="86">
        <f>IF(OR($AW$6=Y204),$AW$6,"")</f>
        <v/>
      </c>
      <c r="AX204" s="87">
        <f t="array" ref="AX204">IF(OR(AV204:AW204={"到貨","庫存"}),"完成","")</f>
        <v/>
      </c>
      <c r="AY204" s="92">
        <f>E204*$M$1</f>
        <v/>
      </c>
    </row>
    <row r="205" outlineLevel="1" ht="14.25" customHeight="1">
      <c r="A205" s="43" t="n">
        <v>200</v>
      </c>
      <c r="B205" s="526" t="n"/>
      <c r="C205" s="393" t="n"/>
      <c r="D205" s="427" t="n"/>
      <c r="E205" s="526" t="n"/>
      <c r="F205" s="526" t="n"/>
      <c r="G205" s="527" t="n"/>
      <c r="H205" s="393" t="n"/>
      <c r="I205" s="528" t="n"/>
      <c r="J205" s="528" t="n"/>
      <c r="K205" s="528" t="n"/>
      <c r="L205" s="529" t="n"/>
      <c r="M205" s="529" t="n"/>
      <c r="N205" s="530" t="n"/>
      <c r="O205" s="531" t="n"/>
      <c r="P205" s="527" t="n"/>
      <c r="Q205" s="528" t="n"/>
      <c r="R205" s="528" t="n"/>
      <c r="S205" s="528" t="n"/>
      <c r="T205" s="543" t="n"/>
      <c r="U205" s="534" t="n"/>
      <c r="V205" s="516" t="n"/>
      <c r="W205" s="535" t="n"/>
      <c r="X205" s="536" t="n"/>
      <c r="Y205" s="519" t="n"/>
      <c r="Z205" s="683" t="n"/>
      <c r="AA205" s="684" t="n"/>
      <c r="AB205" s="684" t="n"/>
      <c r="AC205" s="684" t="n"/>
      <c r="AD205" s="685" t="n"/>
      <c r="AE205" s="686" t="n"/>
      <c r="AF205" s="684" t="n"/>
      <c r="AG205" s="687" t="n"/>
      <c r="AH205" s="687" t="n"/>
      <c r="AI205" s="684" t="n"/>
      <c r="AJ205" s="686" t="n"/>
      <c r="AK205" s="687" t="n"/>
      <c r="AL205" s="687" t="n"/>
      <c r="AM205" s="687" t="n"/>
      <c r="AN205" s="688" t="n"/>
      <c r="AO205" s="686" t="n"/>
      <c r="AP205" s="689" t="n"/>
      <c r="AQ205" s="689" t="n"/>
      <c r="AR205" s="689" t="n"/>
      <c r="AS205" s="690" t="n"/>
      <c r="AT205" s="691">
        <f>IF(AJ205&lt;&gt;"",(IF(AV205="到貨","",(AJ205-TODAY()))),"")</f>
        <v/>
      </c>
      <c r="AU205" s="692">
        <f>IF(AO205&lt;&gt;"",(AO205-AE205),"")</f>
        <v/>
      </c>
      <c r="AV205" s="86">
        <f>IF(AI205&lt;&gt;"",IF(AS205&lt;&gt;"","到貨","5次發包中"),IF(AH205&lt;&gt;"",IF(AR205&lt;&gt;"","到貨","4次發包中"),IF(AG205&lt;&gt;"",IF(AQ205&lt;&gt;"","到貨","3次發包中"),IF(AF205&lt;&gt;"",IF(AP205&lt;&gt;"","到貨","2次發包中"),IF(AE205&lt;&gt;"",IF(AO205&lt;&gt;"","到貨","發包中"),"")))))</f>
        <v/>
      </c>
      <c r="AW205" s="86">
        <f>IF(OR($AW$6=Y205),$AW$6,"")</f>
        <v/>
      </c>
      <c r="AX205" s="87">
        <f t="array" ref="AX205">IF(OR(AV205:AW205={"到貨","庫存"}),"完成","")</f>
        <v/>
      </c>
      <c r="AY205" s="92">
        <f>E205*$M$1</f>
        <v/>
      </c>
    </row>
    <row r="206" outlineLevel="1" ht="14.25" customHeight="1">
      <c r="A206" s="43" t="n">
        <v>201</v>
      </c>
      <c r="B206" s="526" t="n"/>
      <c r="C206" s="393" t="n"/>
      <c r="D206" s="427" t="n"/>
      <c r="E206" s="526" t="n"/>
      <c r="F206" s="526" t="n"/>
      <c r="G206" s="527" t="n"/>
      <c r="H206" s="393" t="n"/>
      <c r="I206" s="528" t="n"/>
      <c r="J206" s="528" t="n"/>
      <c r="K206" s="528" t="n"/>
      <c r="L206" s="529" t="n"/>
      <c r="M206" s="529" t="n"/>
      <c r="N206" s="530" t="n"/>
      <c r="O206" s="531" t="n"/>
      <c r="P206" s="527" t="n"/>
      <c r="Q206" s="528" t="n"/>
      <c r="R206" s="528" t="n"/>
      <c r="S206" s="528" t="n"/>
      <c r="T206" s="543" t="n"/>
      <c r="U206" s="534" t="n"/>
      <c r="V206" s="516" t="n"/>
      <c r="W206" s="535" t="n"/>
      <c r="X206" s="536" t="n"/>
      <c r="Y206" s="519" t="n"/>
      <c r="Z206" s="683" t="n"/>
      <c r="AA206" s="684" t="n"/>
      <c r="AB206" s="684" t="n"/>
      <c r="AC206" s="684" t="n"/>
      <c r="AD206" s="685" t="n"/>
      <c r="AE206" s="686" t="n"/>
      <c r="AF206" s="684" t="n"/>
      <c r="AG206" s="687" t="n"/>
      <c r="AH206" s="687" t="n"/>
      <c r="AI206" s="684" t="n"/>
      <c r="AJ206" s="686" t="n"/>
      <c r="AK206" s="687" t="n"/>
      <c r="AL206" s="687" t="n"/>
      <c r="AM206" s="687" t="n"/>
      <c r="AN206" s="688" t="n"/>
      <c r="AO206" s="686" t="n"/>
      <c r="AP206" s="689" t="n"/>
      <c r="AQ206" s="689" t="n"/>
      <c r="AR206" s="689" t="n"/>
      <c r="AS206" s="690" t="n"/>
      <c r="AT206" s="691">
        <f>IF(AJ206&lt;&gt;"",(IF(AV206="到貨","",(AJ206-TODAY()))),"")</f>
        <v/>
      </c>
      <c r="AU206" s="692">
        <f>IF(AO206&lt;&gt;"",(AO206-AE206),"")</f>
        <v/>
      </c>
      <c r="AV206" s="86">
        <f>IF(AI206&lt;&gt;"",IF(AS206&lt;&gt;"","到貨","5次發包中"),IF(AH206&lt;&gt;"",IF(AR206&lt;&gt;"","到貨","4次發包中"),IF(AG206&lt;&gt;"",IF(AQ206&lt;&gt;"","到貨","3次發包中"),IF(AF206&lt;&gt;"",IF(AP206&lt;&gt;"","到貨","2次發包中"),IF(AE206&lt;&gt;"",IF(AO206&lt;&gt;"","到貨","發包中"),"")))))</f>
        <v/>
      </c>
      <c r="AW206" s="86">
        <f>IF(OR($AW$6=Y206),$AW$6,"")</f>
        <v/>
      </c>
      <c r="AX206" s="87">
        <f t="array" ref="AX206">IF(OR(AV206:AW206={"到貨","庫存"}),"完成","")</f>
        <v/>
      </c>
      <c r="AY206" s="92">
        <f>E206*$M$1</f>
        <v/>
      </c>
    </row>
    <row r="207" outlineLevel="1" ht="14.25" customHeight="1">
      <c r="A207" s="67" t="n">
        <v>202</v>
      </c>
      <c r="B207" s="526" t="n"/>
      <c r="C207" s="393" t="n"/>
      <c r="D207" s="427" t="n"/>
      <c r="E207" s="526" t="n"/>
      <c r="F207" s="526" t="n"/>
      <c r="G207" s="527" t="n"/>
      <c r="H207" s="393" t="n"/>
      <c r="I207" s="528" t="n"/>
      <c r="J207" s="528" t="n"/>
      <c r="K207" s="528" t="n"/>
      <c r="L207" s="529" t="n"/>
      <c r="M207" s="529" t="n"/>
      <c r="N207" s="530" t="n"/>
      <c r="O207" s="531" t="n"/>
      <c r="P207" s="527" t="n"/>
      <c r="Q207" s="528" t="n"/>
      <c r="R207" s="528" t="n"/>
      <c r="S207" s="528" t="n"/>
      <c r="T207" s="543" t="n"/>
      <c r="U207" s="534" t="n"/>
      <c r="V207" s="516" t="n"/>
      <c r="W207" s="535" t="n"/>
      <c r="X207" s="536" t="n"/>
      <c r="Y207" s="519" t="n"/>
      <c r="Z207" s="683" t="n"/>
      <c r="AA207" s="684" t="n"/>
      <c r="AB207" s="684" t="n"/>
      <c r="AC207" s="684" t="n"/>
      <c r="AD207" s="685" t="n"/>
      <c r="AE207" s="686" t="n"/>
      <c r="AF207" s="684" t="n"/>
      <c r="AG207" s="687" t="n"/>
      <c r="AH207" s="687" t="n"/>
      <c r="AI207" s="684" t="n"/>
      <c r="AJ207" s="686" t="n"/>
      <c r="AK207" s="687" t="n"/>
      <c r="AL207" s="687" t="n"/>
      <c r="AM207" s="687" t="n"/>
      <c r="AN207" s="688" t="n"/>
      <c r="AO207" s="686" t="n"/>
      <c r="AP207" s="689" t="n"/>
      <c r="AQ207" s="689" t="n"/>
      <c r="AR207" s="689" t="n"/>
      <c r="AS207" s="690" t="n"/>
      <c r="AT207" s="691">
        <f>IF(AJ207&lt;&gt;"",(IF(AV207="到貨","",(AJ207-TODAY()))),"")</f>
        <v/>
      </c>
      <c r="AU207" s="692">
        <f>IF(AO207&lt;&gt;"",(AO207-AE207),"")</f>
        <v/>
      </c>
      <c r="AV207" s="86">
        <f>IF(AI207&lt;&gt;"",IF(AS207&lt;&gt;"","到貨","5次發包中"),IF(AH207&lt;&gt;"",IF(AR207&lt;&gt;"","到貨","4次發包中"),IF(AG207&lt;&gt;"",IF(AQ207&lt;&gt;"","到貨","3次發包中"),IF(AF207&lt;&gt;"",IF(AP207&lt;&gt;"","到貨","2次發包中"),IF(AE207&lt;&gt;"",IF(AO207&lt;&gt;"","到貨","發包中"),"")))))</f>
        <v/>
      </c>
      <c r="AW207" s="86">
        <f>IF(OR($AW$6=Y207),$AW$6,"")</f>
        <v/>
      </c>
      <c r="AX207" s="87">
        <f t="array" ref="AX207">IF(OR(AV207:AW207={"到貨","庫存"}),"完成","")</f>
        <v/>
      </c>
      <c r="AY207" s="92">
        <f>E207*$M$1</f>
        <v/>
      </c>
    </row>
    <row r="208" outlineLevel="1" ht="14.25" customHeight="1">
      <c r="A208" s="67" t="n">
        <v>203</v>
      </c>
      <c r="B208" s="526" t="n"/>
      <c r="C208" s="393" t="n"/>
      <c r="D208" s="427" t="n"/>
      <c r="E208" s="526" t="n"/>
      <c r="F208" s="526" t="n"/>
      <c r="G208" s="527" t="n"/>
      <c r="H208" s="393" t="n"/>
      <c r="I208" s="528" t="n"/>
      <c r="J208" s="528" t="n"/>
      <c r="K208" s="528" t="n"/>
      <c r="L208" s="529" t="n"/>
      <c r="M208" s="529" t="n"/>
      <c r="N208" s="530" t="n"/>
      <c r="O208" s="531" t="n"/>
      <c r="P208" s="527" t="n"/>
      <c r="Q208" s="528" t="n"/>
      <c r="R208" s="528" t="n"/>
      <c r="S208" s="528" t="n"/>
      <c r="T208" s="543" t="n"/>
      <c r="U208" s="534" t="n"/>
      <c r="V208" s="516" t="n"/>
      <c r="W208" s="535" t="n"/>
      <c r="X208" s="536" t="n"/>
      <c r="Y208" s="519" t="n"/>
      <c r="Z208" s="683" t="n"/>
      <c r="AA208" s="684" t="n"/>
      <c r="AB208" s="684" t="n"/>
      <c r="AC208" s="684" t="n"/>
      <c r="AD208" s="685" t="n"/>
      <c r="AE208" s="686" t="n"/>
      <c r="AF208" s="684" t="n"/>
      <c r="AG208" s="687" t="n"/>
      <c r="AH208" s="687" t="n"/>
      <c r="AI208" s="684" t="n"/>
      <c r="AJ208" s="686" t="n"/>
      <c r="AK208" s="687" t="n"/>
      <c r="AL208" s="687" t="n"/>
      <c r="AM208" s="687" t="n"/>
      <c r="AN208" s="688" t="n"/>
      <c r="AO208" s="686" t="n"/>
      <c r="AP208" s="689" t="n"/>
      <c r="AQ208" s="689" t="n"/>
      <c r="AR208" s="689" t="n"/>
      <c r="AS208" s="690" t="n"/>
      <c r="AT208" s="691">
        <f>IF(AJ208&lt;&gt;"",(IF(AV208="到貨","",(AJ208-TODAY()))),"")</f>
        <v/>
      </c>
      <c r="AU208" s="692">
        <f>IF(AO208&lt;&gt;"",(AO208-AE208),"")</f>
        <v/>
      </c>
      <c r="AV208" s="86">
        <f>IF(AI208&lt;&gt;"",IF(AS208&lt;&gt;"","到貨","5次發包中"),IF(AH208&lt;&gt;"",IF(AR208&lt;&gt;"","到貨","4次發包中"),IF(AG208&lt;&gt;"",IF(AQ208&lt;&gt;"","到貨","3次發包中"),IF(AF208&lt;&gt;"",IF(AP208&lt;&gt;"","到貨","2次發包中"),IF(AE208&lt;&gt;"",IF(AO208&lt;&gt;"","到貨","發包中"),"")))))</f>
        <v/>
      </c>
      <c r="AW208" s="86">
        <f>IF(OR($AW$6=Y208),$AW$6,"")</f>
        <v/>
      </c>
      <c r="AX208" s="87">
        <f t="array" ref="AX208">IF(OR(AV208:AW208={"到貨","庫存"}),"完成","")</f>
        <v/>
      </c>
      <c r="AY208" s="92">
        <f>E208*$M$1</f>
        <v/>
      </c>
    </row>
    <row r="209" outlineLevel="1" ht="14.25" customHeight="1">
      <c r="A209" s="67" t="n">
        <v>204</v>
      </c>
      <c r="B209" s="526" t="n"/>
      <c r="C209" s="393" t="n"/>
      <c r="D209" s="427" t="n"/>
      <c r="E209" s="526" t="n"/>
      <c r="F209" s="526" t="n"/>
      <c r="G209" s="527" t="n"/>
      <c r="H209" s="393" t="n"/>
      <c r="I209" s="528" t="n"/>
      <c r="J209" s="528" t="n"/>
      <c r="K209" s="528" t="n"/>
      <c r="L209" s="529" t="n"/>
      <c r="M209" s="529" t="n"/>
      <c r="N209" s="530" t="n"/>
      <c r="O209" s="531" t="n"/>
      <c r="P209" s="527" t="n"/>
      <c r="Q209" s="528" t="n"/>
      <c r="R209" s="528" t="n"/>
      <c r="S209" s="528" t="n"/>
      <c r="T209" s="543" t="n"/>
      <c r="U209" s="534" t="n"/>
      <c r="V209" s="516" t="n"/>
      <c r="W209" s="535" t="n"/>
      <c r="X209" s="536" t="n"/>
      <c r="Y209" s="519" t="n"/>
      <c r="Z209" s="683" t="n"/>
      <c r="AA209" s="684" t="n"/>
      <c r="AB209" s="684" t="n"/>
      <c r="AC209" s="684" t="n"/>
      <c r="AD209" s="685" t="n"/>
      <c r="AE209" s="686" t="n"/>
      <c r="AF209" s="684" t="n"/>
      <c r="AG209" s="687" t="n"/>
      <c r="AH209" s="687" t="n"/>
      <c r="AI209" s="684" t="n"/>
      <c r="AJ209" s="686" t="n"/>
      <c r="AK209" s="687" t="n"/>
      <c r="AL209" s="687" t="n"/>
      <c r="AM209" s="687" t="n"/>
      <c r="AN209" s="688" t="n"/>
      <c r="AO209" s="686" t="n"/>
      <c r="AP209" s="689" t="n"/>
      <c r="AQ209" s="689" t="n"/>
      <c r="AR209" s="689" t="n"/>
      <c r="AS209" s="690" t="n"/>
      <c r="AT209" s="691">
        <f>IF(AJ209&lt;&gt;"",(IF(AV209="到貨","",(AJ209-TODAY()))),"")</f>
        <v/>
      </c>
      <c r="AU209" s="692">
        <f>IF(AO209&lt;&gt;"",(AO209-AE209),"")</f>
        <v/>
      </c>
      <c r="AV209" s="86">
        <f>IF(AI209&lt;&gt;"",IF(AS209&lt;&gt;"","到貨","5次發包中"),IF(AH209&lt;&gt;"",IF(AR209&lt;&gt;"","到貨","4次發包中"),IF(AG209&lt;&gt;"",IF(AQ209&lt;&gt;"","到貨","3次發包中"),IF(AF209&lt;&gt;"",IF(AP209&lt;&gt;"","到貨","2次發包中"),IF(AE209&lt;&gt;"",IF(AO209&lt;&gt;"","到貨","發包中"),"")))))</f>
        <v/>
      </c>
      <c r="AW209" s="86">
        <f>IF(OR($AW$6=Y209),$AW$6,"")</f>
        <v/>
      </c>
      <c r="AX209" s="87">
        <f t="array" ref="AX209">IF(OR(AV209:AW209={"到貨","庫存"}),"完成","")</f>
        <v/>
      </c>
      <c r="AY209" s="92">
        <f>E209*$M$1</f>
        <v/>
      </c>
    </row>
    <row r="210" outlineLevel="1" ht="14.25" customHeight="1">
      <c r="A210" s="67" t="n">
        <v>205</v>
      </c>
      <c r="B210" s="526" t="n"/>
      <c r="C210" s="393" t="n"/>
      <c r="D210" s="427" t="n"/>
      <c r="E210" s="526" t="n"/>
      <c r="F210" s="526" t="n"/>
      <c r="G210" s="527" t="n"/>
      <c r="H210" s="393" t="n"/>
      <c r="I210" s="528" t="n"/>
      <c r="J210" s="528" t="n"/>
      <c r="K210" s="528" t="n"/>
      <c r="L210" s="529" t="n"/>
      <c r="M210" s="529" t="n"/>
      <c r="N210" s="530" t="n"/>
      <c r="O210" s="531" t="n"/>
      <c r="P210" s="527" t="n"/>
      <c r="Q210" s="528" t="n"/>
      <c r="R210" s="528" t="n"/>
      <c r="S210" s="528" t="n"/>
      <c r="T210" s="543" t="n"/>
      <c r="U210" s="534" t="n"/>
      <c r="V210" s="516" t="n"/>
      <c r="W210" s="535" t="n"/>
      <c r="X210" s="536" t="n"/>
      <c r="Y210" s="519" t="n"/>
      <c r="Z210" s="683" t="n"/>
      <c r="AA210" s="684" t="n"/>
      <c r="AB210" s="684" t="n"/>
      <c r="AC210" s="684" t="n"/>
      <c r="AD210" s="685" t="n"/>
      <c r="AE210" s="686" t="n"/>
      <c r="AF210" s="684" t="n"/>
      <c r="AG210" s="687" t="n"/>
      <c r="AH210" s="687" t="n"/>
      <c r="AI210" s="684" t="n"/>
      <c r="AJ210" s="686" t="n"/>
      <c r="AK210" s="687" t="n"/>
      <c r="AL210" s="687" t="n"/>
      <c r="AM210" s="687" t="n"/>
      <c r="AN210" s="688" t="n"/>
      <c r="AO210" s="686" t="n"/>
      <c r="AP210" s="689" t="n"/>
      <c r="AQ210" s="689" t="n"/>
      <c r="AR210" s="689" t="n"/>
      <c r="AS210" s="690" t="n"/>
      <c r="AT210" s="691">
        <f>IF(AJ210&lt;&gt;"",(IF(AV210="到貨","",(AJ210-TODAY()))),"")</f>
        <v/>
      </c>
      <c r="AU210" s="692">
        <f>IF(AO210&lt;&gt;"",(AO210-AE210),"")</f>
        <v/>
      </c>
      <c r="AV210" s="86">
        <f>IF(AI210&lt;&gt;"",IF(AS210&lt;&gt;"","到貨","5次發包中"),IF(AH210&lt;&gt;"",IF(AR210&lt;&gt;"","到貨","4次發包中"),IF(AG210&lt;&gt;"",IF(AQ210&lt;&gt;"","到貨","3次發包中"),IF(AF210&lt;&gt;"",IF(AP210&lt;&gt;"","到貨","2次發包中"),IF(AE210&lt;&gt;"",IF(AO210&lt;&gt;"","到貨","發包中"),"")))))</f>
        <v/>
      </c>
      <c r="AW210" s="86">
        <f>IF(OR($AW$6=Y210),$AW$6,"")</f>
        <v/>
      </c>
      <c r="AX210" s="87">
        <f t="array" ref="AX210">IF(OR(AV210:AW210={"到貨","庫存"}),"完成","")</f>
        <v/>
      </c>
      <c r="AY210" s="92">
        <f>E210*$M$1</f>
        <v/>
      </c>
    </row>
    <row r="211" outlineLevel="1" ht="14.25" customHeight="1">
      <c r="A211" s="67" t="n">
        <v>206</v>
      </c>
      <c r="B211" s="526" t="n"/>
      <c r="C211" s="393" t="n"/>
      <c r="D211" s="427" t="n"/>
      <c r="E211" s="526" t="n"/>
      <c r="F211" s="526" t="n"/>
      <c r="G211" s="527" t="n"/>
      <c r="H211" s="393" t="n"/>
      <c r="I211" s="528" t="n"/>
      <c r="J211" s="528" t="n"/>
      <c r="K211" s="528" t="n"/>
      <c r="L211" s="529" t="n"/>
      <c r="M211" s="529" t="n"/>
      <c r="N211" s="530" t="n"/>
      <c r="O211" s="531" t="n"/>
      <c r="P211" s="527" t="n"/>
      <c r="Q211" s="528" t="n"/>
      <c r="R211" s="528" t="n"/>
      <c r="S211" s="528" t="n"/>
      <c r="T211" s="543" t="n"/>
      <c r="U211" s="534" t="n"/>
      <c r="V211" s="516" t="n"/>
      <c r="W211" s="535" t="n"/>
      <c r="X211" s="536" t="n"/>
      <c r="Y211" s="519" t="n"/>
      <c r="Z211" s="683" t="n"/>
      <c r="AA211" s="684" t="n"/>
      <c r="AB211" s="684" t="n"/>
      <c r="AC211" s="684" t="n"/>
      <c r="AD211" s="685" t="n"/>
      <c r="AE211" s="686" t="n"/>
      <c r="AF211" s="684" t="n"/>
      <c r="AG211" s="687" t="n"/>
      <c r="AH211" s="687" t="n"/>
      <c r="AI211" s="684" t="n"/>
      <c r="AJ211" s="686" t="n"/>
      <c r="AK211" s="687" t="n"/>
      <c r="AL211" s="687" t="n"/>
      <c r="AM211" s="687" t="n"/>
      <c r="AN211" s="688" t="n"/>
      <c r="AO211" s="686" t="n"/>
      <c r="AP211" s="689" t="n"/>
      <c r="AQ211" s="689" t="n"/>
      <c r="AR211" s="689" t="n"/>
      <c r="AS211" s="690" t="n"/>
      <c r="AT211" s="691">
        <f>IF(AJ211&lt;&gt;"",(IF(AV211="到貨","",(AJ211-TODAY()))),"")</f>
        <v/>
      </c>
      <c r="AU211" s="692">
        <f>IF(AO211&lt;&gt;"",(AO211-AE211),"")</f>
        <v/>
      </c>
      <c r="AV211" s="86">
        <f>IF(AI211&lt;&gt;"",IF(AS211&lt;&gt;"","到貨","5次發包中"),IF(AH211&lt;&gt;"",IF(AR211&lt;&gt;"","到貨","4次發包中"),IF(AG211&lt;&gt;"",IF(AQ211&lt;&gt;"","到貨","3次發包中"),IF(AF211&lt;&gt;"",IF(AP211&lt;&gt;"","到貨","2次發包中"),IF(AE211&lt;&gt;"",IF(AO211&lt;&gt;"","到貨","發包中"),"")))))</f>
        <v/>
      </c>
      <c r="AW211" s="86">
        <f>IF(OR($AW$6=Y211),$AW$6,"")</f>
        <v/>
      </c>
      <c r="AX211" s="87">
        <f t="array" ref="AX211">IF(OR(AV211:AW211={"到貨","庫存"}),"完成","")</f>
        <v/>
      </c>
      <c r="AY211" s="92">
        <f>E211*$M$1</f>
        <v/>
      </c>
    </row>
    <row r="212" outlineLevel="1" ht="14.25" customHeight="1">
      <c r="A212" s="67" t="n">
        <v>207</v>
      </c>
      <c r="B212" s="526" t="n"/>
      <c r="C212" s="393" t="n"/>
      <c r="D212" s="427" t="n"/>
      <c r="E212" s="526" t="n"/>
      <c r="F212" s="526" t="n"/>
      <c r="G212" s="527" t="n"/>
      <c r="H212" s="393" t="n"/>
      <c r="I212" s="528" t="n"/>
      <c r="J212" s="528" t="n"/>
      <c r="K212" s="528" t="n"/>
      <c r="L212" s="529" t="n"/>
      <c r="M212" s="529" t="n"/>
      <c r="N212" s="530" t="n"/>
      <c r="O212" s="531" t="n"/>
      <c r="P212" s="527" t="n"/>
      <c r="Q212" s="528" t="n"/>
      <c r="R212" s="528" t="n"/>
      <c r="S212" s="528" t="n"/>
      <c r="T212" s="543" t="n"/>
      <c r="U212" s="534" t="n"/>
      <c r="V212" s="516" t="n"/>
      <c r="W212" s="535" t="n"/>
      <c r="X212" s="536" t="n"/>
      <c r="Y212" s="519" t="n"/>
      <c r="Z212" s="683" t="n"/>
      <c r="AA212" s="684" t="n"/>
      <c r="AB212" s="684" t="n"/>
      <c r="AC212" s="684" t="n"/>
      <c r="AD212" s="685" t="n"/>
      <c r="AE212" s="686" t="n"/>
      <c r="AF212" s="684" t="n"/>
      <c r="AG212" s="687" t="n"/>
      <c r="AH212" s="687" t="n"/>
      <c r="AI212" s="684" t="n"/>
      <c r="AJ212" s="686" t="n"/>
      <c r="AK212" s="687" t="n"/>
      <c r="AL212" s="687" t="n"/>
      <c r="AM212" s="687" t="n"/>
      <c r="AN212" s="688" t="n"/>
      <c r="AO212" s="686" t="n"/>
      <c r="AP212" s="689" t="n"/>
      <c r="AQ212" s="689" t="n"/>
      <c r="AR212" s="689" t="n"/>
      <c r="AS212" s="690" t="n"/>
      <c r="AT212" s="691">
        <f>IF(AJ212&lt;&gt;"",(IF(AV212="到貨","",(AJ212-TODAY()))),"")</f>
        <v/>
      </c>
      <c r="AU212" s="692">
        <f>IF(AO212&lt;&gt;"",(AO212-AE212),"")</f>
        <v/>
      </c>
      <c r="AV212" s="86">
        <f>IF(AI212&lt;&gt;"",IF(AS212&lt;&gt;"","到貨","5次發包中"),IF(AH212&lt;&gt;"",IF(AR212&lt;&gt;"","到貨","4次發包中"),IF(AG212&lt;&gt;"",IF(AQ212&lt;&gt;"","到貨","3次發包中"),IF(AF212&lt;&gt;"",IF(AP212&lt;&gt;"","到貨","2次發包中"),IF(AE212&lt;&gt;"",IF(AO212&lt;&gt;"","到貨","發包中"),"")))))</f>
        <v/>
      </c>
      <c r="AW212" s="86">
        <f>IF(OR($AW$6=Y212),$AW$6,"")</f>
        <v/>
      </c>
      <c r="AX212" s="87">
        <f t="array" ref="AX212">IF(OR(AV212:AW212={"到貨","庫存"}),"完成","")</f>
        <v/>
      </c>
      <c r="AY212" s="92">
        <f>E212*$M$1</f>
        <v/>
      </c>
    </row>
    <row r="213" outlineLevel="1" ht="14.25" customHeight="1">
      <c r="A213" s="67" t="n">
        <v>208</v>
      </c>
      <c r="B213" s="526" t="n"/>
      <c r="C213" s="393" t="n"/>
      <c r="D213" s="427" t="n"/>
      <c r="E213" s="526" t="n"/>
      <c r="F213" s="526" t="n"/>
      <c r="G213" s="527" t="n"/>
      <c r="H213" s="393" t="n"/>
      <c r="I213" s="528" t="n"/>
      <c r="J213" s="528" t="n"/>
      <c r="K213" s="528" t="n"/>
      <c r="L213" s="529" t="n"/>
      <c r="M213" s="529" t="n"/>
      <c r="N213" s="530" t="n"/>
      <c r="O213" s="531" t="n"/>
      <c r="P213" s="527" t="n"/>
      <c r="Q213" s="528" t="n"/>
      <c r="R213" s="528" t="n"/>
      <c r="S213" s="528" t="n"/>
      <c r="T213" s="543" t="n"/>
      <c r="U213" s="534" t="n"/>
      <c r="V213" s="516" t="n"/>
      <c r="W213" s="535" t="n"/>
      <c r="X213" s="536" t="n"/>
      <c r="Y213" s="519" t="n"/>
      <c r="Z213" s="683" t="n"/>
      <c r="AA213" s="684" t="n"/>
      <c r="AB213" s="684" t="n"/>
      <c r="AC213" s="684" t="n"/>
      <c r="AD213" s="685" t="n"/>
      <c r="AE213" s="686" t="n"/>
      <c r="AF213" s="684" t="n"/>
      <c r="AG213" s="687" t="n"/>
      <c r="AH213" s="687" t="n"/>
      <c r="AI213" s="684" t="n"/>
      <c r="AJ213" s="686" t="n"/>
      <c r="AK213" s="687" t="n"/>
      <c r="AL213" s="687" t="n"/>
      <c r="AM213" s="687" t="n"/>
      <c r="AN213" s="688" t="n"/>
      <c r="AO213" s="686" t="n"/>
      <c r="AP213" s="689" t="n"/>
      <c r="AQ213" s="689" t="n"/>
      <c r="AR213" s="689" t="n"/>
      <c r="AS213" s="690" t="n"/>
      <c r="AT213" s="691">
        <f>IF(AJ213&lt;&gt;"",(IF(AV213="到貨","",(AJ213-TODAY()))),"")</f>
        <v/>
      </c>
      <c r="AU213" s="692">
        <f>IF(AO213&lt;&gt;"",(AO213-AE213),"")</f>
        <v/>
      </c>
      <c r="AV213" s="86">
        <f>IF(AI213&lt;&gt;"",IF(AS213&lt;&gt;"","到貨","5次發包中"),IF(AH213&lt;&gt;"",IF(AR213&lt;&gt;"","到貨","4次發包中"),IF(AG213&lt;&gt;"",IF(AQ213&lt;&gt;"","到貨","3次發包中"),IF(AF213&lt;&gt;"",IF(AP213&lt;&gt;"","到貨","2次發包中"),IF(AE213&lt;&gt;"",IF(AO213&lt;&gt;"","到貨","發包中"),"")))))</f>
        <v/>
      </c>
      <c r="AW213" s="86">
        <f>IF(OR($AW$6=Y213),$AW$6,"")</f>
        <v/>
      </c>
      <c r="AX213" s="87">
        <f t="array" ref="AX213">IF(OR(AV213:AW213={"到貨","庫存"}),"完成","")</f>
        <v/>
      </c>
      <c r="AY213" s="92">
        <f>E213*$M$1</f>
        <v/>
      </c>
    </row>
    <row r="214" outlineLevel="1" ht="14.25" customHeight="1">
      <c r="A214" s="67" t="n">
        <v>209</v>
      </c>
      <c r="B214" s="526" t="n"/>
      <c r="C214" s="393" t="n"/>
      <c r="D214" s="427" t="n"/>
      <c r="E214" s="526" t="n"/>
      <c r="F214" s="526" t="n"/>
      <c r="G214" s="527" t="n"/>
      <c r="H214" s="393" t="n"/>
      <c r="I214" s="528" t="n"/>
      <c r="J214" s="528" t="n"/>
      <c r="K214" s="528" t="n"/>
      <c r="L214" s="529" t="n"/>
      <c r="M214" s="529" t="n"/>
      <c r="N214" s="530" t="n"/>
      <c r="O214" s="531" t="n"/>
      <c r="P214" s="527" t="n"/>
      <c r="Q214" s="528" t="n"/>
      <c r="R214" s="528" t="n"/>
      <c r="S214" s="528" t="n"/>
      <c r="T214" s="543" t="n"/>
      <c r="U214" s="534" t="n"/>
      <c r="V214" s="516" t="n"/>
      <c r="W214" s="535" t="n"/>
      <c r="X214" s="536" t="n"/>
      <c r="Y214" s="519" t="n"/>
      <c r="Z214" s="683" t="n"/>
      <c r="AA214" s="684" t="n"/>
      <c r="AB214" s="684" t="n"/>
      <c r="AC214" s="684" t="n"/>
      <c r="AD214" s="685" t="n"/>
      <c r="AE214" s="686" t="n"/>
      <c r="AF214" s="684" t="n"/>
      <c r="AG214" s="687" t="n"/>
      <c r="AH214" s="687" t="n"/>
      <c r="AI214" s="684" t="n"/>
      <c r="AJ214" s="686" t="n"/>
      <c r="AK214" s="687" t="n"/>
      <c r="AL214" s="687" t="n"/>
      <c r="AM214" s="687" t="n"/>
      <c r="AN214" s="688" t="n"/>
      <c r="AO214" s="686" t="n"/>
      <c r="AP214" s="689" t="n"/>
      <c r="AQ214" s="689" t="n"/>
      <c r="AR214" s="689" t="n"/>
      <c r="AS214" s="690" t="n"/>
      <c r="AT214" s="691">
        <f>IF(AJ214&lt;&gt;"",(IF(AV214="到貨","",(AJ214-TODAY()))),"")</f>
        <v/>
      </c>
      <c r="AU214" s="692">
        <f>IF(AO214&lt;&gt;"",(AO214-AE214),"")</f>
        <v/>
      </c>
      <c r="AV214" s="86">
        <f>IF(AI214&lt;&gt;"",IF(AS214&lt;&gt;"","到貨","5次發包中"),IF(AH214&lt;&gt;"",IF(AR214&lt;&gt;"","到貨","4次發包中"),IF(AG214&lt;&gt;"",IF(AQ214&lt;&gt;"","到貨","3次發包中"),IF(AF214&lt;&gt;"",IF(AP214&lt;&gt;"","到貨","2次發包中"),IF(AE214&lt;&gt;"",IF(AO214&lt;&gt;"","到貨","發包中"),"")))))</f>
        <v/>
      </c>
      <c r="AW214" s="86">
        <f>IF(OR($AW$6=Y214),$AW$6,"")</f>
        <v/>
      </c>
      <c r="AX214" s="87">
        <f t="array" ref="AX214">IF(OR(AV214:AW214={"到貨","庫存"}),"完成","")</f>
        <v/>
      </c>
      <c r="AY214" s="92">
        <f>E214*$M$1</f>
        <v/>
      </c>
    </row>
    <row r="215" outlineLevel="1" ht="14.25" customHeight="1">
      <c r="A215" s="67" t="n">
        <v>210</v>
      </c>
      <c r="B215" s="526" t="n"/>
      <c r="C215" s="393" t="n"/>
      <c r="D215" s="427" t="n"/>
      <c r="E215" s="526" t="n"/>
      <c r="F215" s="526" t="n"/>
      <c r="G215" s="527" t="n"/>
      <c r="H215" s="393" t="n"/>
      <c r="I215" s="528" t="n"/>
      <c r="J215" s="528" t="n"/>
      <c r="K215" s="528" t="n"/>
      <c r="L215" s="529" t="n"/>
      <c r="M215" s="529" t="n"/>
      <c r="N215" s="530" t="n"/>
      <c r="O215" s="531" t="n"/>
      <c r="P215" s="527" t="n"/>
      <c r="Q215" s="528" t="n"/>
      <c r="R215" s="528" t="n"/>
      <c r="S215" s="528" t="n"/>
      <c r="T215" s="543" t="n"/>
      <c r="U215" s="534" t="n"/>
      <c r="V215" s="516" t="n"/>
      <c r="W215" s="535" t="n"/>
      <c r="X215" s="536" t="n"/>
      <c r="Y215" s="519" t="n"/>
      <c r="Z215" s="683" t="n"/>
      <c r="AA215" s="684" t="n"/>
      <c r="AB215" s="684" t="n"/>
      <c r="AC215" s="684" t="n"/>
      <c r="AD215" s="685" t="n"/>
      <c r="AE215" s="686" t="n"/>
      <c r="AF215" s="684" t="n"/>
      <c r="AG215" s="687" t="n"/>
      <c r="AH215" s="687" t="n"/>
      <c r="AI215" s="684" t="n"/>
      <c r="AJ215" s="686" t="n"/>
      <c r="AK215" s="687" t="n"/>
      <c r="AL215" s="687" t="n"/>
      <c r="AM215" s="687" t="n"/>
      <c r="AN215" s="688" t="n"/>
      <c r="AO215" s="686" t="n"/>
      <c r="AP215" s="689" t="n"/>
      <c r="AQ215" s="689" t="n"/>
      <c r="AR215" s="689" t="n"/>
      <c r="AS215" s="690" t="n"/>
      <c r="AT215" s="691">
        <f>IF(AJ215&lt;&gt;"",(IF(AV215="到貨","",(AJ215-TODAY()))),"")</f>
        <v/>
      </c>
      <c r="AU215" s="692">
        <f>IF(AO215&lt;&gt;"",(AO215-AE215),"")</f>
        <v/>
      </c>
      <c r="AV215" s="86">
        <f>IF(AI215&lt;&gt;"",IF(AS215&lt;&gt;"","到貨","5次發包中"),IF(AH215&lt;&gt;"",IF(AR215&lt;&gt;"","到貨","4次發包中"),IF(AG215&lt;&gt;"",IF(AQ215&lt;&gt;"","到貨","3次發包中"),IF(AF215&lt;&gt;"",IF(AP215&lt;&gt;"","到貨","2次發包中"),IF(AE215&lt;&gt;"",IF(AO215&lt;&gt;"","到貨","發包中"),"")))))</f>
        <v/>
      </c>
      <c r="AW215" s="86">
        <f>IF(OR($AW$6=Y215),$AW$6,"")</f>
        <v/>
      </c>
      <c r="AX215" s="87">
        <f t="array" ref="AX215">IF(OR(AV215:AW215={"到貨","庫存"}),"完成","")</f>
        <v/>
      </c>
      <c r="AY215" s="92">
        <f>E215*$M$1</f>
        <v/>
      </c>
    </row>
    <row r="216" outlineLevel="1" ht="14.25" customHeight="1">
      <c r="A216" s="67" t="n">
        <v>211</v>
      </c>
      <c r="B216" s="526" t="n"/>
      <c r="C216" s="393" t="n"/>
      <c r="D216" s="427" t="n"/>
      <c r="E216" s="526" t="n"/>
      <c r="F216" s="526" t="n"/>
      <c r="G216" s="527" t="n"/>
      <c r="H216" s="393" t="n"/>
      <c r="I216" s="528" t="n"/>
      <c r="J216" s="528" t="n"/>
      <c r="K216" s="528" t="n"/>
      <c r="L216" s="529" t="n"/>
      <c r="M216" s="529" t="n"/>
      <c r="N216" s="530" t="n"/>
      <c r="O216" s="531" t="n"/>
      <c r="P216" s="527" t="n"/>
      <c r="Q216" s="528" t="n"/>
      <c r="R216" s="528" t="n"/>
      <c r="S216" s="528" t="n"/>
      <c r="T216" s="543" t="n"/>
      <c r="U216" s="534" t="n"/>
      <c r="V216" s="516" t="n"/>
      <c r="W216" s="535" t="n"/>
      <c r="X216" s="536" t="n"/>
      <c r="Y216" s="519" t="n"/>
      <c r="Z216" s="683" t="n"/>
      <c r="AA216" s="684" t="n"/>
      <c r="AB216" s="684" t="n"/>
      <c r="AC216" s="684" t="n"/>
      <c r="AD216" s="685" t="n"/>
      <c r="AE216" s="686" t="n"/>
      <c r="AF216" s="684" t="n"/>
      <c r="AG216" s="687" t="n"/>
      <c r="AH216" s="687" t="n"/>
      <c r="AI216" s="684" t="n"/>
      <c r="AJ216" s="686" t="n"/>
      <c r="AK216" s="687" t="n"/>
      <c r="AL216" s="687" t="n"/>
      <c r="AM216" s="687" t="n"/>
      <c r="AN216" s="688" t="n"/>
      <c r="AO216" s="686" t="n"/>
      <c r="AP216" s="689" t="n"/>
      <c r="AQ216" s="689" t="n"/>
      <c r="AR216" s="689" t="n"/>
      <c r="AS216" s="690" t="n"/>
      <c r="AT216" s="691">
        <f>IF(AJ216&lt;&gt;"",(IF(AV216="到貨","",(AJ216-TODAY()))),"")</f>
        <v/>
      </c>
      <c r="AU216" s="692">
        <f>IF(AO216&lt;&gt;"",(AO216-AE216),"")</f>
        <v/>
      </c>
      <c r="AV216" s="86">
        <f>IF(AI216&lt;&gt;"",IF(AS216&lt;&gt;"","到貨","5次發包中"),IF(AH216&lt;&gt;"",IF(AR216&lt;&gt;"","到貨","4次發包中"),IF(AG216&lt;&gt;"",IF(AQ216&lt;&gt;"","到貨","3次發包中"),IF(AF216&lt;&gt;"",IF(AP216&lt;&gt;"","到貨","2次發包中"),IF(AE216&lt;&gt;"",IF(AO216&lt;&gt;"","到貨","發包中"),"")))))</f>
        <v/>
      </c>
      <c r="AW216" s="86">
        <f>IF(OR($AW$6=Y216),$AW$6,"")</f>
        <v/>
      </c>
      <c r="AX216" s="87">
        <f t="array" ref="AX216">IF(OR(AV216:AW216={"到貨","庫存"}),"完成","")</f>
        <v/>
      </c>
      <c r="AY216" s="92">
        <f>E216*$M$1</f>
        <v/>
      </c>
    </row>
    <row r="217" outlineLevel="1" ht="14.25" customHeight="1">
      <c r="A217" s="67" t="n">
        <v>212</v>
      </c>
      <c r="B217" s="526" t="n"/>
      <c r="C217" s="393" t="n"/>
      <c r="D217" s="427" t="n"/>
      <c r="E217" s="526" t="n"/>
      <c r="F217" s="526" t="n"/>
      <c r="G217" s="527" t="n"/>
      <c r="H217" s="393" t="n"/>
      <c r="I217" s="528" t="n"/>
      <c r="J217" s="528" t="n"/>
      <c r="K217" s="528" t="n"/>
      <c r="L217" s="529" t="n"/>
      <c r="M217" s="529" t="n"/>
      <c r="N217" s="530" t="n"/>
      <c r="O217" s="531" t="n"/>
      <c r="P217" s="527" t="n"/>
      <c r="Q217" s="528" t="n"/>
      <c r="R217" s="528" t="n"/>
      <c r="S217" s="528" t="n"/>
      <c r="T217" s="543" t="n"/>
      <c r="U217" s="534" t="n"/>
      <c r="V217" s="516" t="n"/>
      <c r="W217" s="535" t="n"/>
      <c r="X217" s="536" t="n"/>
      <c r="Y217" s="519" t="n"/>
      <c r="Z217" s="683" t="n"/>
      <c r="AA217" s="684" t="n"/>
      <c r="AB217" s="684" t="n"/>
      <c r="AC217" s="684" t="n"/>
      <c r="AD217" s="685" t="n"/>
      <c r="AE217" s="686" t="n"/>
      <c r="AF217" s="684" t="n"/>
      <c r="AG217" s="687" t="n"/>
      <c r="AH217" s="687" t="n"/>
      <c r="AI217" s="684" t="n"/>
      <c r="AJ217" s="686" t="n"/>
      <c r="AK217" s="687" t="n"/>
      <c r="AL217" s="687" t="n"/>
      <c r="AM217" s="687" t="n"/>
      <c r="AN217" s="688" t="n"/>
      <c r="AO217" s="686" t="n"/>
      <c r="AP217" s="689" t="n"/>
      <c r="AQ217" s="689" t="n"/>
      <c r="AR217" s="689" t="n"/>
      <c r="AS217" s="690" t="n"/>
      <c r="AT217" s="691">
        <f>IF(AJ217&lt;&gt;"",(IF(AV217="到貨","",(AJ217-TODAY()))),"")</f>
        <v/>
      </c>
      <c r="AU217" s="692">
        <f>IF(AO217&lt;&gt;"",(AO217-AE217),"")</f>
        <v/>
      </c>
      <c r="AV217" s="86">
        <f>IF(AI217&lt;&gt;"",IF(AS217&lt;&gt;"","到貨","5次發包中"),IF(AH217&lt;&gt;"",IF(AR217&lt;&gt;"","到貨","4次發包中"),IF(AG217&lt;&gt;"",IF(AQ217&lt;&gt;"","到貨","3次發包中"),IF(AF217&lt;&gt;"",IF(AP217&lt;&gt;"","到貨","2次發包中"),IF(AE217&lt;&gt;"",IF(AO217&lt;&gt;"","到貨","發包中"),"")))))</f>
        <v/>
      </c>
      <c r="AW217" s="86">
        <f>IF(OR($AW$6=Y217),$AW$6,"")</f>
        <v/>
      </c>
      <c r="AX217" s="87">
        <f t="array" ref="AX217">IF(OR(AV217:AW217={"到貨","庫存"}),"完成","")</f>
        <v/>
      </c>
      <c r="AY217" s="92">
        <f>E217*$M$1</f>
        <v/>
      </c>
    </row>
    <row r="218" outlineLevel="1" ht="14.25" customHeight="1">
      <c r="A218" s="67" t="n">
        <v>213</v>
      </c>
      <c r="B218" s="526" t="n"/>
      <c r="C218" s="393" t="n"/>
      <c r="D218" s="427" t="n"/>
      <c r="E218" s="526" t="n"/>
      <c r="F218" s="526" t="n"/>
      <c r="G218" s="527" t="n"/>
      <c r="H218" s="393" t="n"/>
      <c r="I218" s="528" t="n"/>
      <c r="J218" s="528" t="n"/>
      <c r="K218" s="528" t="n"/>
      <c r="L218" s="529" t="n"/>
      <c r="M218" s="529" t="n"/>
      <c r="N218" s="530" t="n"/>
      <c r="O218" s="531" t="n"/>
      <c r="P218" s="527" t="n"/>
      <c r="Q218" s="528" t="n"/>
      <c r="R218" s="528" t="n"/>
      <c r="S218" s="528" t="n"/>
      <c r="T218" s="543" t="n"/>
      <c r="U218" s="534" t="n"/>
      <c r="V218" s="516" t="n"/>
      <c r="W218" s="535" t="n"/>
      <c r="X218" s="536" t="n"/>
      <c r="Y218" s="519" t="n"/>
      <c r="Z218" s="683" t="n"/>
      <c r="AA218" s="684" t="n"/>
      <c r="AB218" s="684" t="n"/>
      <c r="AC218" s="684" t="n"/>
      <c r="AD218" s="685" t="n"/>
      <c r="AE218" s="686" t="n"/>
      <c r="AF218" s="684" t="n"/>
      <c r="AG218" s="687" t="n"/>
      <c r="AH218" s="687" t="n"/>
      <c r="AI218" s="684" t="n"/>
      <c r="AJ218" s="686" t="n"/>
      <c r="AK218" s="687" t="n"/>
      <c r="AL218" s="687" t="n"/>
      <c r="AM218" s="687" t="n"/>
      <c r="AN218" s="688" t="n"/>
      <c r="AO218" s="686" t="n"/>
      <c r="AP218" s="689" t="n"/>
      <c r="AQ218" s="689" t="n"/>
      <c r="AR218" s="689" t="n"/>
      <c r="AS218" s="690" t="n"/>
      <c r="AT218" s="691">
        <f>IF(AJ218&lt;&gt;"",(IF(AV218="到貨","",(AJ218-TODAY()))),"")</f>
        <v/>
      </c>
      <c r="AU218" s="692">
        <f>IF(AO218&lt;&gt;"",(AO218-AE218),"")</f>
        <v/>
      </c>
      <c r="AV218" s="86">
        <f>IF(AI218&lt;&gt;"",IF(AS218&lt;&gt;"","到貨","5次發包中"),IF(AH218&lt;&gt;"",IF(AR218&lt;&gt;"","到貨","4次發包中"),IF(AG218&lt;&gt;"",IF(AQ218&lt;&gt;"","到貨","3次發包中"),IF(AF218&lt;&gt;"",IF(AP218&lt;&gt;"","到貨","2次發包中"),IF(AE218&lt;&gt;"",IF(AO218&lt;&gt;"","到貨","發包中"),"")))))</f>
        <v/>
      </c>
      <c r="AW218" s="86">
        <f>IF(OR($AW$6=Y218),$AW$6,"")</f>
        <v/>
      </c>
      <c r="AX218" s="87">
        <f t="array" ref="AX218">IF(OR(AV218:AW218={"到貨","庫存"}),"完成","")</f>
        <v/>
      </c>
      <c r="AY218" s="92">
        <f>E218*$M$1</f>
        <v/>
      </c>
    </row>
    <row r="219" outlineLevel="1" ht="14.25" customHeight="1">
      <c r="A219" s="67" t="n">
        <v>214</v>
      </c>
      <c r="B219" s="526" t="n"/>
      <c r="C219" s="393" t="n"/>
      <c r="D219" s="427" t="n"/>
      <c r="E219" s="526" t="n"/>
      <c r="F219" s="526" t="n"/>
      <c r="G219" s="527" t="n"/>
      <c r="H219" s="393" t="n"/>
      <c r="I219" s="528" t="n"/>
      <c r="J219" s="528" t="n"/>
      <c r="K219" s="528" t="n"/>
      <c r="L219" s="529" t="n"/>
      <c r="M219" s="529" t="n"/>
      <c r="N219" s="530" t="n"/>
      <c r="O219" s="531" t="n"/>
      <c r="P219" s="527" t="n"/>
      <c r="Q219" s="528" t="n"/>
      <c r="R219" s="528" t="n"/>
      <c r="S219" s="528" t="n"/>
      <c r="T219" s="543" t="n"/>
      <c r="U219" s="534" t="n"/>
      <c r="V219" s="516" t="n"/>
      <c r="W219" s="535" t="n"/>
      <c r="X219" s="536" t="n"/>
      <c r="Y219" s="519" t="n"/>
      <c r="Z219" s="683" t="n"/>
      <c r="AA219" s="684" t="n"/>
      <c r="AB219" s="684" t="n"/>
      <c r="AC219" s="684" t="n"/>
      <c r="AD219" s="685" t="n"/>
      <c r="AE219" s="686" t="n"/>
      <c r="AF219" s="684" t="n"/>
      <c r="AG219" s="687" t="n"/>
      <c r="AH219" s="687" t="n"/>
      <c r="AI219" s="684" t="n"/>
      <c r="AJ219" s="686" t="n"/>
      <c r="AK219" s="687" t="n"/>
      <c r="AL219" s="687" t="n"/>
      <c r="AM219" s="687" t="n"/>
      <c r="AN219" s="688" t="n"/>
      <c r="AO219" s="686" t="n"/>
      <c r="AP219" s="689" t="n"/>
      <c r="AQ219" s="689" t="n"/>
      <c r="AR219" s="689" t="n"/>
      <c r="AS219" s="690" t="n"/>
      <c r="AT219" s="691">
        <f>IF(AJ219&lt;&gt;"",(IF(AV219="到貨","",(AJ219-TODAY()))),"")</f>
        <v/>
      </c>
      <c r="AU219" s="692">
        <f>IF(AO219&lt;&gt;"",(AO219-AE219),"")</f>
        <v/>
      </c>
      <c r="AV219" s="86">
        <f>IF(AI219&lt;&gt;"",IF(AS219&lt;&gt;"","到貨","5次發包中"),IF(AH219&lt;&gt;"",IF(AR219&lt;&gt;"","到貨","4次發包中"),IF(AG219&lt;&gt;"",IF(AQ219&lt;&gt;"","到貨","3次發包中"),IF(AF219&lt;&gt;"",IF(AP219&lt;&gt;"","到貨","2次發包中"),IF(AE219&lt;&gt;"",IF(AO219&lt;&gt;"","到貨","發包中"),"")))))</f>
        <v/>
      </c>
      <c r="AW219" s="86">
        <f>IF(OR($AW$6=Y219),$AW$6,"")</f>
        <v/>
      </c>
      <c r="AX219" s="87">
        <f t="array" ref="AX219">IF(OR(AV219:AW219={"到貨","庫存"}),"完成","")</f>
        <v/>
      </c>
      <c r="AY219" s="92">
        <f>E219*$M$1</f>
        <v/>
      </c>
    </row>
    <row r="220" outlineLevel="1" ht="14.25" customHeight="1">
      <c r="A220" s="67" t="n">
        <v>215</v>
      </c>
      <c r="B220" s="526" t="n"/>
      <c r="C220" s="393" t="n"/>
      <c r="D220" s="427" t="n"/>
      <c r="E220" s="526" t="n"/>
      <c r="F220" s="526" t="n"/>
      <c r="G220" s="527" t="n"/>
      <c r="H220" s="393" t="n"/>
      <c r="I220" s="528" t="n"/>
      <c r="J220" s="528" t="n"/>
      <c r="K220" s="528" t="n"/>
      <c r="L220" s="529" t="n"/>
      <c r="M220" s="529" t="n"/>
      <c r="N220" s="530" t="n"/>
      <c r="O220" s="531" t="n"/>
      <c r="P220" s="527" t="n"/>
      <c r="Q220" s="528" t="n"/>
      <c r="R220" s="528" t="n"/>
      <c r="S220" s="528" t="n"/>
      <c r="T220" s="543" t="n"/>
      <c r="U220" s="534" t="n"/>
      <c r="V220" s="516" t="n"/>
      <c r="W220" s="535" t="n"/>
      <c r="X220" s="536" t="n"/>
      <c r="Y220" s="519" t="n"/>
      <c r="Z220" s="683" t="n"/>
      <c r="AA220" s="684" t="n"/>
      <c r="AB220" s="684" t="n"/>
      <c r="AC220" s="684" t="n"/>
      <c r="AD220" s="685" t="n"/>
      <c r="AE220" s="686" t="n"/>
      <c r="AF220" s="684" t="n"/>
      <c r="AG220" s="687" t="n"/>
      <c r="AH220" s="687" t="n"/>
      <c r="AI220" s="684" t="n"/>
      <c r="AJ220" s="686" t="n"/>
      <c r="AK220" s="687" t="n"/>
      <c r="AL220" s="687" t="n"/>
      <c r="AM220" s="687" t="n"/>
      <c r="AN220" s="688" t="n"/>
      <c r="AO220" s="686" t="n"/>
      <c r="AP220" s="689" t="n"/>
      <c r="AQ220" s="689" t="n"/>
      <c r="AR220" s="689" t="n"/>
      <c r="AS220" s="690" t="n"/>
      <c r="AT220" s="691">
        <f>IF(AJ220&lt;&gt;"",(IF(AV220="到貨","",(AJ220-TODAY()))),"")</f>
        <v/>
      </c>
      <c r="AU220" s="692">
        <f>IF(AO220&lt;&gt;"",(AO220-AE220),"")</f>
        <v/>
      </c>
      <c r="AV220" s="86">
        <f>IF(AI220&lt;&gt;"",IF(AS220&lt;&gt;"","到貨","5次發包中"),IF(AH220&lt;&gt;"",IF(AR220&lt;&gt;"","到貨","4次發包中"),IF(AG220&lt;&gt;"",IF(AQ220&lt;&gt;"","到貨","3次發包中"),IF(AF220&lt;&gt;"",IF(AP220&lt;&gt;"","到貨","2次發包中"),IF(AE220&lt;&gt;"",IF(AO220&lt;&gt;"","到貨","發包中"),"")))))</f>
        <v/>
      </c>
      <c r="AW220" s="86">
        <f>IF(OR($AW$6=Y220),$AW$6,"")</f>
        <v/>
      </c>
      <c r="AX220" s="87">
        <f t="array" ref="AX220">IF(OR(AV220:AW220={"到貨","庫存"}),"完成","")</f>
        <v/>
      </c>
      <c r="AY220" s="92">
        <f>E220*$M$1</f>
        <v/>
      </c>
    </row>
    <row r="221" outlineLevel="1" ht="14.25" customHeight="1">
      <c r="A221" s="67" t="n">
        <v>216</v>
      </c>
      <c r="B221" s="526" t="n"/>
      <c r="C221" s="393" t="n"/>
      <c r="D221" s="427" t="n"/>
      <c r="E221" s="526" t="n"/>
      <c r="F221" s="526" t="n"/>
      <c r="G221" s="527" t="n"/>
      <c r="H221" s="393" t="n"/>
      <c r="I221" s="528" t="n"/>
      <c r="J221" s="528" t="n"/>
      <c r="K221" s="528" t="n"/>
      <c r="L221" s="529" t="n"/>
      <c r="M221" s="529" t="n"/>
      <c r="N221" s="530" t="n"/>
      <c r="O221" s="531" t="n"/>
      <c r="P221" s="527" t="n"/>
      <c r="Q221" s="528" t="n"/>
      <c r="R221" s="528" t="n"/>
      <c r="S221" s="528" t="n"/>
      <c r="T221" s="543" t="n"/>
      <c r="U221" s="534" t="n"/>
      <c r="V221" s="516" t="n"/>
      <c r="W221" s="535" t="n"/>
      <c r="X221" s="536" t="n"/>
      <c r="Y221" s="519" t="n"/>
      <c r="Z221" s="683" t="n"/>
      <c r="AA221" s="684" t="n"/>
      <c r="AB221" s="684" t="n"/>
      <c r="AC221" s="684" t="n"/>
      <c r="AD221" s="685" t="n"/>
      <c r="AE221" s="686" t="n"/>
      <c r="AF221" s="684" t="n"/>
      <c r="AG221" s="687" t="n"/>
      <c r="AH221" s="687" t="n"/>
      <c r="AI221" s="684" t="n"/>
      <c r="AJ221" s="686" t="n"/>
      <c r="AK221" s="687" t="n"/>
      <c r="AL221" s="687" t="n"/>
      <c r="AM221" s="687" t="n"/>
      <c r="AN221" s="688" t="n"/>
      <c r="AO221" s="686" t="n"/>
      <c r="AP221" s="689" t="n"/>
      <c r="AQ221" s="689" t="n"/>
      <c r="AR221" s="689" t="n"/>
      <c r="AS221" s="690" t="n"/>
      <c r="AT221" s="691">
        <f>IF(AJ221&lt;&gt;"",(IF(AV221="到貨","",(AJ221-TODAY()))),"")</f>
        <v/>
      </c>
      <c r="AU221" s="692">
        <f>IF(AO221&lt;&gt;"",(AO221-AE221),"")</f>
        <v/>
      </c>
      <c r="AV221" s="86">
        <f>IF(AI221&lt;&gt;"",IF(AS221&lt;&gt;"","到貨","5次發包中"),IF(AH221&lt;&gt;"",IF(AR221&lt;&gt;"","到貨","4次發包中"),IF(AG221&lt;&gt;"",IF(AQ221&lt;&gt;"","到貨","3次發包中"),IF(AF221&lt;&gt;"",IF(AP221&lt;&gt;"","到貨","2次發包中"),IF(AE221&lt;&gt;"",IF(AO221&lt;&gt;"","到貨","發包中"),"")))))</f>
        <v/>
      </c>
      <c r="AW221" s="86">
        <f>IF(OR($AW$6=Y221),$AW$6,"")</f>
        <v/>
      </c>
      <c r="AX221" s="87">
        <f t="array" ref="AX221">IF(OR(AV221:AW221={"到貨","庫存"}),"完成","")</f>
        <v/>
      </c>
      <c r="AY221" s="92">
        <f>E221*$M$1</f>
        <v/>
      </c>
    </row>
    <row r="222" outlineLevel="1" ht="14.25" customHeight="1">
      <c r="A222" s="67" t="n">
        <v>217</v>
      </c>
      <c r="B222" s="526" t="n"/>
      <c r="C222" s="393" t="n"/>
      <c r="D222" s="427" t="n"/>
      <c r="E222" s="526" t="n"/>
      <c r="F222" s="526" t="n"/>
      <c r="G222" s="527" t="n"/>
      <c r="H222" s="393" t="n"/>
      <c r="I222" s="528" t="n"/>
      <c r="J222" s="528" t="n"/>
      <c r="K222" s="528" t="n"/>
      <c r="L222" s="529" t="n"/>
      <c r="M222" s="529" t="n"/>
      <c r="N222" s="530" t="n"/>
      <c r="O222" s="531" t="n"/>
      <c r="P222" s="527" t="n"/>
      <c r="Q222" s="528" t="n"/>
      <c r="R222" s="528" t="n"/>
      <c r="S222" s="528" t="n"/>
      <c r="T222" s="543" t="n"/>
      <c r="U222" s="534" t="n"/>
      <c r="V222" s="516" t="n"/>
      <c r="W222" s="535" t="n"/>
      <c r="X222" s="536" t="n"/>
      <c r="Y222" s="519" t="n"/>
      <c r="Z222" s="683" t="n"/>
      <c r="AA222" s="684" t="n"/>
      <c r="AB222" s="684" t="n"/>
      <c r="AC222" s="684" t="n"/>
      <c r="AD222" s="685" t="n"/>
      <c r="AE222" s="686" t="n"/>
      <c r="AF222" s="684" t="n"/>
      <c r="AG222" s="687" t="n"/>
      <c r="AH222" s="687" t="n"/>
      <c r="AI222" s="684" t="n"/>
      <c r="AJ222" s="686" t="n"/>
      <c r="AK222" s="687" t="n"/>
      <c r="AL222" s="687" t="n"/>
      <c r="AM222" s="687" t="n"/>
      <c r="AN222" s="688" t="n"/>
      <c r="AO222" s="686" t="n"/>
      <c r="AP222" s="689" t="n"/>
      <c r="AQ222" s="689" t="n"/>
      <c r="AR222" s="689" t="n"/>
      <c r="AS222" s="690" t="n"/>
      <c r="AT222" s="691">
        <f>IF(AJ222&lt;&gt;"",(IF(AV222="到貨","",(AJ222-TODAY()))),"")</f>
        <v/>
      </c>
      <c r="AU222" s="692">
        <f>IF(AO222&lt;&gt;"",(AO222-AE222),"")</f>
        <v/>
      </c>
      <c r="AV222" s="86">
        <f>IF(AI222&lt;&gt;"",IF(AS222&lt;&gt;"","到貨","5次發包中"),IF(AH222&lt;&gt;"",IF(AR222&lt;&gt;"","到貨","4次發包中"),IF(AG222&lt;&gt;"",IF(AQ222&lt;&gt;"","到貨","3次發包中"),IF(AF222&lt;&gt;"",IF(AP222&lt;&gt;"","到貨","2次發包中"),IF(AE222&lt;&gt;"",IF(AO222&lt;&gt;"","到貨","發包中"),"")))))</f>
        <v/>
      </c>
      <c r="AW222" s="86">
        <f>IF(OR($AW$6=Y222),$AW$6,"")</f>
        <v/>
      </c>
      <c r="AX222" s="87">
        <f t="array" ref="AX222">IF(OR(AV222:AW222={"到貨","庫存"}),"完成","")</f>
        <v/>
      </c>
      <c r="AY222" s="92">
        <f>E222*$M$1</f>
        <v/>
      </c>
    </row>
    <row r="223" outlineLevel="1" ht="14.25" customHeight="1">
      <c r="A223" s="67" t="n">
        <v>218</v>
      </c>
      <c r="B223" s="526" t="n"/>
      <c r="C223" s="393" t="n"/>
      <c r="D223" s="427" t="n"/>
      <c r="E223" s="526" t="n"/>
      <c r="F223" s="526" t="n"/>
      <c r="G223" s="527" t="n"/>
      <c r="H223" s="393" t="n"/>
      <c r="I223" s="528" t="n"/>
      <c r="J223" s="528" t="n"/>
      <c r="K223" s="528" t="n"/>
      <c r="L223" s="529" t="n"/>
      <c r="M223" s="529" t="n"/>
      <c r="N223" s="530" t="n"/>
      <c r="O223" s="531" t="n"/>
      <c r="P223" s="527" t="n"/>
      <c r="Q223" s="528" t="n"/>
      <c r="R223" s="528" t="n"/>
      <c r="S223" s="528" t="n"/>
      <c r="T223" s="543" t="n"/>
      <c r="U223" s="534" t="n"/>
      <c r="V223" s="516" t="n"/>
      <c r="W223" s="535" t="n"/>
      <c r="X223" s="536" t="n"/>
      <c r="Y223" s="519" t="n"/>
      <c r="Z223" s="683" t="n"/>
      <c r="AA223" s="684" t="n"/>
      <c r="AB223" s="684" t="n"/>
      <c r="AC223" s="684" t="n"/>
      <c r="AD223" s="685" t="n"/>
      <c r="AE223" s="686" t="n"/>
      <c r="AF223" s="684" t="n"/>
      <c r="AG223" s="687" t="n"/>
      <c r="AH223" s="687" t="n"/>
      <c r="AI223" s="684" t="n"/>
      <c r="AJ223" s="686" t="n"/>
      <c r="AK223" s="687" t="n"/>
      <c r="AL223" s="687" t="n"/>
      <c r="AM223" s="687" t="n"/>
      <c r="AN223" s="688" t="n"/>
      <c r="AO223" s="686" t="n"/>
      <c r="AP223" s="689" t="n"/>
      <c r="AQ223" s="689" t="n"/>
      <c r="AR223" s="689" t="n"/>
      <c r="AS223" s="690" t="n"/>
      <c r="AT223" s="691">
        <f>IF(AJ223&lt;&gt;"",(IF(AV223="到貨","",(AJ223-TODAY()))),"")</f>
        <v/>
      </c>
      <c r="AU223" s="692">
        <f>IF(AO223&lt;&gt;"",(AO223-AE223),"")</f>
        <v/>
      </c>
      <c r="AV223" s="86">
        <f>IF(AI223&lt;&gt;"",IF(AS223&lt;&gt;"","到貨","5次發包中"),IF(AH223&lt;&gt;"",IF(AR223&lt;&gt;"","到貨","4次發包中"),IF(AG223&lt;&gt;"",IF(AQ223&lt;&gt;"","到貨","3次發包中"),IF(AF223&lt;&gt;"",IF(AP223&lt;&gt;"","到貨","2次發包中"),IF(AE223&lt;&gt;"",IF(AO223&lt;&gt;"","到貨","發包中"),"")))))</f>
        <v/>
      </c>
      <c r="AW223" s="86">
        <f>IF(OR($AW$6=Y223),$AW$6,"")</f>
        <v/>
      </c>
      <c r="AX223" s="87">
        <f t="array" ref="AX223">IF(OR(AV223:AW223={"到貨","庫存"}),"完成","")</f>
        <v/>
      </c>
      <c r="AY223" s="92">
        <f>E223*$M$1</f>
        <v/>
      </c>
    </row>
    <row r="224" outlineLevel="1" ht="14.25" customHeight="1">
      <c r="A224" s="67" t="n">
        <v>219</v>
      </c>
      <c r="B224" s="526" t="n"/>
      <c r="C224" s="393" t="n"/>
      <c r="D224" s="427" t="n"/>
      <c r="E224" s="526" t="n"/>
      <c r="F224" s="526" t="n"/>
      <c r="G224" s="527" t="n"/>
      <c r="H224" s="393" t="n"/>
      <c r="I224" s="528" t="n"/>
      <c r="J224" s="528" t="n"/>
      <c r="K224" s="528" t="n"/>
      <c r="L224" s="529" t="n"/>
      <c r="M224" s="529" t="n"/>
      <c r="N224" s="530" t="n"/>
      <c r="O224" s="531" t="n"/>
      <c r="P224" s="527" t="n"/>
      <c r="Q224" s="528" t="n"/>
      <c r="R224" s="528" t="n"/>
      <c r="S224" s="528" t="n"/>
      <c r="T224" s="543" t="n"/>
      <c r="U224" s="534" t="n"/>
      <c r="V224" s="516" t="n"/>
      <c r="W224" s="535" t="n"/>
      <c r="X224" s="536" t="n"/>
      <c r="Y224" s="519" t="n"/>
      <c r="Z224" s="683" t="n"/>
      <c r="AA224" s="684" t="n"/>
      <c r="AB224" s="684" t="n"/>
      <c r="AC224" s="684" t="n"/>
      <c r="AD224" s="685" t="n"/>
      <c r="AE224" s="686" t="n"/>
      <c r="AF224" s="684" t="n"/>
      <c r="AG224" s="687" t="n"/>
      <c r="AH224" s="687" t="n"/>
      <c r="AI224" s="684" t="n"/>
      <c r="AJ224" s="686" t="n"/>
      <c r="AK224" s="687" t="n"/>
      <c r="AL224" s="687" t="n"/>
      <c r="AM224" s="687" t="n"/>
      <c r="AN224" s="688" t="n"/>
      <c r="AO224" s="686" t="n"/>
      <c r="AP224" s="689" t="n"/>
      <c r="AQ224" s="689" t="n"/>
      <c r="AR224" s="689" t="n"/>
      <c r="AS224" s="690" t="n"/>
      <c r="AT224" s="691">
        <f>IF(AJ224&lt;&gt;"",(IF(AV224="到貨","",(AJ224-TODAY()))),"")</f>
        <v/>
      </c>
      <c r="AU224" s="692">
        <f>IF(AO224&lt;&gt;"",(AO224-AE224),"")</f>
        <v/>
      </c>
      <c r="AV224" s="86">
        <f>IF(AI224&lt;&gt;"",IF(AS224&lt;&gt;"","到貨","5次發包中"),IF(AH224&lt;&gt;"",IF(AR224&lt;&gt;"","到貨","4次發包中"),IF(AG224&lt;&gt;"",IF(AQ224&lt;&gt;"","到貨","3次發包中"),IF(AF224&lt;&gt;"",IF(AP224&lt;&gt;"","到貨","2次發包中"),IF(AE224&lt;&gt;"",IF(AO224&lt;&gt;"","到貨","發包中"),"")))))</f>
        <v/>
      </c>
      <c r="AW224" s="86">
        <f>IF(OR($AW$6=Y224),$AW$6,"")</f>
        <v/>
      </c>
      <c r="AX224" s="87">
        <f t="array" ref="AX224">IF(OR(AV224:AW224={"到貨","庫存"}),"完成","")</f>
        <v/>
      </c>
      <c r="AY224" s="92">
        <f>E224*$M$1</f>
        <v/>
      </c>
    </row>
    <row r="225" outlineLevel="1" ht="14.25" customHeight="1">
      <c r="A225" s="67" t="n">
        <v>220</v>
      </c>
      <c r="B225" s="526" t="n"/>
      <c r="C225" s="393" t="n"/>
      <c r="D225" s="427" t="n"/>
      <c r="E225" s="526" t="n"/>
      <c r="F225" s="526" t="n"/>
      <c r="G225" s="527" t="n"/>
      <c r="H225" s="393" t="n"/>
      <c r="I225" s="528" t="n"/>
      <c r="J225" s="528" t="n"/>
      <c r="K225" s="528" t="n"/>
      <c r="L225" s="529" t="n"/>
      <c r="M225" s="529" t="n"/>
      <c r="N225" s="530" t="n"/>
      <c r="O225" s="531" t="n"/>
      <c r="P225" s="527" t="n"/>
      <c r="Q225" s="528" t="n"/>
      <c r="R225" s="528" t="n"/>
      <c r="S225" s="528" t="n"/>
      <c r="T225" s="543" t="n"/>
      <c r="U225" s="534" t="n"/>
      <c r="V225" s="516" t="n"/>
      <c r="W225" s="535" t="n"/>
      <c r="X225" s="536" t="n"/>
      <c r="Y225" s="519" t="n"/>
      <c r="Z225" s="683" t="n"/>
      <c r="AA225" s="684" t="n"/>
      <c r="AB225" s="684" t="n"/>
      <c r="AC225" s="684" t="n"/>
      <c r="AD225" s="685" t="n"/>
      <c r="AE225" s="686" t="n"/>
      <c r="AF225" s="684" t="n"/>
      <c r="AG225" s="687" t="n"/>
      <c r="AH225" s="687" t="n"/>
      <c r="AI225" s="684" t="n"/>
      <c r="AJ225" s="686" t="n"/>
      <c r="AK225" s="687" t="n"/>
      <c r="AL225" s="687" t="n"/>
      <c r="AM225" s="687" t="n"/>
      <c r="AN225" s="688" t="n"/>
      <c r="AO225" s="686" t="n"/>
      <c r="AP225" s="689" t="n"/>
      <c r="AQ225" s="689" t="n"/>
      <c r="AR225" s="689" t="n"/>
      <c r="AS225" s="690" t="n"/>
      <c r="AT225" s="691">
        <f>IF(AJ225&lt;&gt;"",(IF(AV225="到貨","",(AJ225-TODAY()))),"")</f>
        <v/>
      </c>
      <c r="AU225" s="692">
        <f>IF(AO225&lt;&gt;"",(AO225-AE225),"")</f>
        <v/>
      </c>
      <c r="AV225" s="86">
        <f>IF(AI225&lt;&gt;"",IF(AS225&lt;&gt;"","到貨","5次發包中"),IF(AH225&lt;&gt;"",IF(AR225&lt;&gt;"","到貨","4次發包中"),IF(AG225&lt;&gt;"",IF(AQ225&lt;&gt;"","到貨","3次發包中"),IF(AF225&lt;&gt;"",IF(AP225&lt;&gt;"","到貨","2次發包中"),IF(AE225&lt;&gt;"",IF(AO225&lt;&gt;"","到貨","發包中"),"")))))</f>
        <v/>
      </c>
      <c r="AW225" s="86">
        <f>IF(OR($AW$6=Y225),$AW$6,"")</f>
        <v/>
      </c>
      <c r="AX225" s="87">
        <f t="array" ref="AX225">IF(OR(AV225:AW225={"到貨","庫存"}),"完成","")</f>
        <v/>
      </c>
      <c r="AY225" s="92">
        <f>E225*$M$1</f>
        <v/>
      </c>
    </row>
    <row r="226" outlineLevel="1" ht="14.25" customHeight="1">
      <c r="A226" s="67" t="n">
        <v>221</v>
      </c>
      <c r="B226" s="526" t="n"/>
      <c r="C226" s="393" t="n"/>
      <c r="D226" s="427" t="n"/>
      <c r="E226" s="526" t="n"/>
      <c r="F226" s="526" t="n"/>
      <c r="G226" s="527" t="n"/>
      <c r="H226" s="393" t="n"/>
      <c r="I226" s="528" t="n"/>
      <c r="J226" s="528" t="n"/>
      <c r="K226" s="528" t="n"/>
      <c r="L226" s="529" t="n"/>
      <c r="M226" s="529" t="n"/>
      <c r="N226" s="530" t="n"/>
      <c r="O226" s="531" t="n"/>
      <c r="P226" s="527" t="n"/>
      <c r="Q226" s="528" t="n"/>
      <c r="R226" s="528" t="n"/>
      <c r="S226" s="528" t="n"/>
      <c r="T226" s="543" t="n"/>
      <c r="U226" s="534" t="n"/>
      <c r="V226" s="516" t="n"/>
      <c r="W226" s="535" t="n"/>
      <c r="X226" s="536" t="n"/>
      <c r="Y226" s="519" t="n"/>
      <c r="Z226" s="683" t="n"/>
      <c r="AA226" s="684" t="n"/>
      <c r="AB226" s="684" t="n"/>
      <c r="AC226" s="684" t="n"/>
      <c r="AD226" s="685" t="n"/>
      <c r="AE226" s="686" t="n"/>
      <c r="AF226" s="684" t="n"/>
      <c r="AG226" s="687" t="n"/>
      <c r="AH226" s="687" t="n"/>
      <c r="AI226" s="684" t="n"/>
      <c r="AJ226" s="686" t="n"/>
      <c r="AK226" s="687" t="n"/>
      <c r="AL226" s="687" t="n"/>
      <c r="AM226" s="687" t="n"/>
      <c r="AN226" s="688" t="n"/>
      <c r="AO226" s="686" t="n"/>
      <c r="AP226" s="689" t="n"/>
      <c r="AQ226" s="689" t="n"/>
      <c r="AR226" s="689" t="n"/>
      <c r="AS226" s="690" t="n"/>
      <c r="AT226" s="691">
        <f>IF(AJ226&lt;&gt;"",(IF(AV226="到貨","",(AJ226-TODAY()))),"")</f>
        <v/>
      </c>
      <c r="AU226" s="692">
        <f>IF(AO226&lt;&gt;"",(AO226-AE226),"")</f>
        <v/>
      </c>
      <c r="AV226" s="86">
        <f>IF(AI226&lt;&gt;"",IF(AS226&lt;&gt;"","到貨","5次發包中"),IF(AH226&lt;&gt;"",IF(AR226&lt;&gt;"","到貨","4次發包中"),IF(AG226&lt;&gt;"",IF(AQ226&lt;&gt;"","到貨","3次發包中"),IF(AF226&lt;&gt;"",IF(AP226&lt;&gt;"","到貨","2次發包中"),IF(AE226&lt;&gt;"",IF(AO226&lt;&gt;"","到貨","發包中"),"")))))</f>
        <v/>
      </c>
      <c r="AW226" s="86">
        <f>IF(OR($AW$6=Y226),$AW$6,"")</f>
        <v/>
      </c>
      <c r="AX226" s="87">
        <f t="array" ref="AX226">IF(OR(AV226:AW226={"到貨","庫存"}),"完成","")</f>
        <v/>
      </c>
      <c r="AY226" s="92">
        <f>E226*$M$1</f>
        <v/>
      </c>
    </row>
    <row r="227" outlineLevel="1" ht="14.25" customHeight="1">
      <c r="A227" s="67" t="n">
        <v>222</v>
      </c>
      <c r="B227" s="526" t="n"/>
      <c r="C227" s="393" t="n"/>
      <c r="D227" s="427" t="n"/>
      <c r="E227" s="526" t="n"/>
      <c r="F227" s="526" t="n"/>
      <c r="G227" s="527" t="n"/>
      <c r="H227" s="393" t="n"/>
      <c r="I227" s="528" t="n"/>
      <c r="J227" s="528" t="n"/>
      <c r="K227" s="528" t="n"/>
      <c r="L227" s="529" t="n"/>
      <c r="M227" s="529" t="n"/>
      <c r="N227" s="530" t="n"/>
      <c r="O227" s="531" t="n"/>
      <c r="P227" s="527" t="n"/>
      <c r="Q227" s="528" t="n"/>
      <c r="R227" s="528" t="n"/>
      <c r="S227" s="528" t="n"/>
      <c r="T227" s="543" t="n"/>
      <c r="U227" s="534" t="n"/>
      <c r="V227" s="516" t="n"/>
      <c r="W227" s="535" t="n"/>
      <c r="X227" s="536" t="n"/>
      <c r="Y227" s="519" t="n"/>
      <c r="Z227" s="683" t="n"/>
      <c r="AA227" s="684" t="n"/>
      <c r="AB227" s="684" t="n"/>
      <c r="AC227" s="684" t="n"/>
      <c r="AD227" s="685" t="n"/>
      <c r="AE227" s="686" t="n"/>
      <c r="AF227" s="684" t="n"/>
      <c r="AG227" s="687" t="n"/>
      <c r="AH227" s="687" t="n"/>
      <c r="AI227" s="684" t="n"/>
      <c r="AJ227" s="686" t="n"/>
      <c r="AK227" s="687" t="n"/>
      <c r="AL227" s="687" t="n"/>
      <c r="AM227" s="687" t="n"/>
      <c r="AN227" s="688" t="n"/>
      <c r="AO227" s="686" t="n"/>
      <c r="AP227" s="689" t="n"/>
      <c r="AQ227" s="689" t="n"/>
      <c r="AR227" s="689" t="n"/>
      <c r="AS227" s="690" t="n"/>
      <c r="AT227" s="691">
        <f>IF(AJ227&lt;&gt;"",(IF(AV227="到貨","",(AJ227-TODAY()))),"")</f>
        <v/>
      </c>
      <c r="AU227" s="692">
        <f>IF(AO227&lt;&gt;"",(AO227-AE227),"")</f>
        <v/>
      </c>
      <c r="AV227" s="86">
        <f>IF(AI227&lt;&gt;"",IF(AS227&lt;&gt;"","到貨","5次發包中"),IF(AH227&lt;&gt;"",IF(AR227&lt;&gt;"","到貨","4次發包中"),IF(AG227&lt;&gt;"",IF(AQ227&lt;&gt;"","到貨","3次發包中"),IF(AF227&lt;&gt;"",IF(AP227&lt;&gt;"","到貨","2次發包中"),IF(AE227&lt;&gt;"",IF(AO227&lt;&gt;"","到貨","發包中"),"")))))</f>
        <v/>
      </c>
      <c r="AW227" s="86">
        <f>IF(OR($AW$6=Y227),$AW$6,"")</f>
        <v/>
      </c>
      <c r="AX227" s="87">
        <f t="array" ref="AX227">IF(OR(AV227:AW227={"到貨","庫存"}),"完成","")</f>
        <v/>
      </c>
      <c r="AY227" s="92">
        <f>E227*$M$1</f>
        <v/>
      </c>
    </row>
    <row r="228" outlineLevel="1" ht="14.25" customHeight="1">
      <c r="A228" s="67" t="n">
        <v>223</v>
      </c>
      <c r="B228" s="526" t="n"/>
      <c r="C228" s="393" t="n"/>
      <c r="D228" s="427" t="n"/>
      <c r="E228" s="526" t="n"/>
      <c r="F228" s="526" t="n"/>
      <c r="G228" s="527" t="n"/>
      <c r="H228" s="393" t="n"/>
      <c r="I228" s="528" t="n"/>
      <c r="J228" s="528" t="n"/>
      <c r="K228" s="528" t="n"/>
      <c r="L228" s="529" t="n"/>
      <c r="M228" s="529" t="n"/>
      <c r="N228" s="530" t="n"/>
      <c r="O228" s="531" t="n"/>
      <c r="P228" s="527" t="n"/>
      <c r="Q228" s="528" t="n"/>
      <c r="R228" s="528" t="n"/>
      <c r="S228" s="528" t="n"/>
      <c r="T228" s="543" t="n"/>
      <c r="U228" s="534" t="n"/>
      <c r="V228" s="516" t="n"/>
      <c r="W228" s="535" t="n"/>
      <c r="X228" s="536" t="n"/>
      <c r="Y228" s="519" t="n"/>
      <c r="Z228" s="683" t="n"/>
      <c r="AA228" s="684" t="n"/>
      <c r="AB228" s="684" t="n"/>
      <c r="AC228" s="684" t="n"/>
      <c r="AD228" s="685" t="n"/>
      <c r="AE228" s="686" t="n"/>
      <c r="AF228" s="684" t="n"/>
      <c r="AG228" s="687" t="n"/>
      <c r="AH228" s="687" t="n"/>
      <c r="AI228" s="684" t="n"/>
      <c r="AJ228" s="686" t="n"/>
      <c r="AK228" s="687" t="n"/>
      <c r="AL228" s="687" t="n"/>
      <c r="AM228" s="687" t="n"/>
      <c r="AN228" s="688" t="n"/>
      <c r="AO228" s="686" t="n"/>
      <c r="AP228" s="689" t="n"/>
      <c r="AQ228" s="689" t="n"/>
      <c r="AR228" s="689" t="n"/>
      <c r="AS228" s="690" t="n"/>
      <c r="AT228" s="691">
        <f>IF(AJ228&lt;&gt;"",(IF(AV228="到貨","",(AJ228-TODAY()))),"")</f>
        <v/>
      </c>
      <c r="AU228" s="692">
        <f>IF(AO228&lt;&gt;"",(AO228-AE228),"")</f>
        <v/>
      </c>
      <c r="AV228" s="86">
        <f>IF(AI228&lt;&gt;"",IF(AS228&lt;&gt;"","到貨","5次發包中"),IF(AH228&lt;&gt;"",IF(AR228&lt;&gt;"","到貨","4次發包中"),IF(AG228&lt;&gt;"",IF(AQ228&lt;&gt;"","到貨","3次發包中"),IF(AF228&lt;&gt;"",IF(AP228&lt;&gt;"","到貨","2次發包中"),IF(AE228&lt;&gt;"",IF(AO228&lt;&gt;"","到貨","發包中"),"")))))</f>
        <v/>
      </c>
      <c r="AW228" s="86">
        <f>IF(OR($AW$6=Y228),$AW$6,"")</f>
        <v/>
      </c>
      <c r="AX228" s="87">
        <f t="array" ref="AX228">IF(OR(AV228:AW228={"到貨","庫存"}),"完成","")</f>
        <v/>
      </c>
      <c r="AY228" s="92">
        <f>E228*$M$1</f>
        <v/>
      </c>
    </row>
    <row r="229" outlineLevel="1" ht="14.25" customHeight="1">
      <c r="A229" s="67" t="n">
        <v>224</v>
      </c>
      <c r="B229" s="526" t="n"/>
      <c r="C229" s="393" t="n"/>
      <c r="D229" s="427" t="n"/>
      <c r="E229" s="526" t="n"/>
      <c r="F229" s="526" t="n"/>
      <c r="G229" s="527" t="n"/>
      <c r="H229" s="393" t="n"/>
      <c r="I229" s="528" t="n"/>
      <c r="J229" s="528" t="n"/>
      <c r="K229" s="528" t="n"/>
      <c r="L229" s="529" t="n"/>
      <c r="M229" s="529" t="n"/>
      <c r="N229" s="530" t="n"/>
      <c r="O229" s="531" t="n"/>
      <c r="P229" s="527" t="n"/>
      <c r="Q229" s="528" t="n"/>
      <c r="R229" s="528" t="n"/>
      <c r="S229" s="528" t="n"/>
      <c r="T229" s="543" t="n"/>
      <c r="U229" s="534" t="n"/>
      <c r="V229" s="516" t="n"/>
      <c r="W229" s="535" t="n"/>
      <c r="X229" s="536" t="n"/>
      <c r="Y229" s="519" t="n"/>
      <c r="Z229" s="683" t="n"/>
      <c r="AA229" s="684" t="n"/>
      <c r="AB229" s="684" t="n"/>
      <c r="AC229" s="684" t="n"/>
      <c r="AD229" s="685" t="n"/>
      <c r="AE229" s="686" t="n"/>
      <c r="AF229" s="684" t="n"/>
      <c r="AG229" s="687" t="n"/>
      <c r="AH229" s="687" t="n"/>
      <c r="AI229" s="684" t="n"/>
      <c r="AJ229" s="686" t="n"/>
      <c r="AK229" s="687" t="n"/>
      <c r="AL229" s="687" t="n"/>
      <c r="AM229" s="687" t="n"/>
      <c r="AN229" s="688" t="n"/>
      <c r="AO229" s="686" t="n"/>
      <c r="AP229" s="689" t="n"/>
      <c r="AQ229" s="689" t="n"/>
      <c r="AR229" s="689" t="n"/>
      <c r="AS229" s="690" t="n"/>
      <c r="AT229" s="691">
        <f>IF(AJ229&lt;&gt;"",(IF(AV229="到貨","",(AJ229-TODAY()))),"")</f>
        <v/>
      </c>
      <c r="AU229" s="692">
        <f>IF(AO229&lt;&gt;"",(AO229-AE229),"")</f>
        <v/>
      </c>
      <c r="AV229" s="86">
        <f>IF(AI229&lt;&gt;"",IF(AS229&lt;&gt;"","到貨","5次發包中"),IF(AH229&lt;&gt;"",IF(AR229&lt;&gt;"","到貨","4次發包中"),IF(AG229&lt;&gt;"",IF(AQ229&lt;&gt;"","到貨","3次發包中"),IF(AF229&lt;&gt;"",IF(AP229&lt;&gt;"","到貨","2次發包中"),IF(AE229&lt;&gt;"",IF(AO229&lt;&gt;"","到貨","發包中"),"")))))</f>
        <v/>
      </c>
      <c r="AW229" s="86">
        <f>IF(OR($AW$6=Y229),$AW$6,"")</f>
        <v/>
      </c>
      <c r="AX229" s="87">
        <f t="array" ref="AX229">IF(OR(AV229:AW229={"到貨","庫存"}),"完成","")</f>
        <v/>
      </c>
      <c r="AY229" s="92">
        <f>E229*$M$1</f>
        <v/>
      </c>
    </row>
    <row r="230" outlineLevel="1" ht="14.25" customHeight="1">
      <c r="A230" s="67" t="n">
        <v>225</v>
      </c>
      <c r="B230" s="526" t="n"/>
      <c r="C230" s="393" t="n"/>
      <c r="D230" s="427" t="n"/>
      <c r="E230" s="526" t="n"/>
      <c r="F230" s="526" t="n"/>
      <c r="G230" s="527" t="n"/>
      <c r="H230" s="393" t="n"/>
      <c r="I230" s="528" t="n"/>
      <c r="J230" s="528" t="n"/>
      <c r="K230" s="528" t="n"/>
      <c r="L230" s="529" t="n"/>
      <c r="M230" s="529" t="n"/>
      <c r="N230" s="530" t="n"/>
      <c r="O230" s="531" t="n"/>
      <c r="P230" s="527" t="n"/>
      <c r="Q230" s="528" t="n"/>
      <c r="R230" s="528" t="n"/>
      <c r="S230" s="528" t="n"/>
      <c r="T230" s="543" t="n"/>
      <c r="U230" s="534" t="n"/>
      <c r="V230" s="516" t="n"/>
      <c r="W230" s="535" t="n"/>
      <c r="X230" s="536" t="n"/>
      <c r="Y230" s="519" t="n"/>
      <c r="Z230" s="683" t="n"/>
      <c r="AA230" s="684" t="n"/>
      <c r="AB230" s="684" t="n"/>
      <c r="AC230" s="684" t="n"/>
      <c r="AD230" s="685" t="n"/>
      <c r="AE230" s="686" t="n"/>
      <c r="AF230" s="684" t="n"/>
      <c r="AG230" s="687" t="n"/>
      <c r="AH230" s="687" t="n"/>
      <c r="AI230" s="684" t="n"/>
      <c r="AJ230" s="686" t="n"/>
      <c r="AK230" s="687" t="n"/>
      <c r="AL230" s="687" t="n"/>
      <c r="AM230" s="687" t="n"/>
      <c r="AN230" s="688" t="n"/>
      <c r="AO230" s="686" t="n"/>
      <c r="AP230" s="689" t="n"/>
      <c r="AQ230" s="689" t="n"/>
      <c r="AR230" s="689" t="n"/>
      <c r="AS230" s="690" t="n"/>
      <c r="AT230" s="691">
        <f>IF(AJ230&lt;&gt;"",(IF(AV230="到貨","",(AJ230-TODAY()))),"")</f>
        <v/>
      </c>
      <c r="AU230" s="692">
        <f>IF(AO230&lt;&gt;"",(AO230-AE230),"")</f>
        <v/>
      </c>
      <c r="AV230" s="86">
        <f>IF(AI230&lt;&gt;"",IF(AS230&lt;&gt;"","到貨","5次發包中"),IF(AH230&lt;&gt;"",IF(AR230&lt;&gt;"","到貨","4次發包中"),IF(AG230&lt;&gt;"",IF(AQ230&lt;&gt;"","到貨","3次發包中"),IF(AF230&lt;&gt;"",IF(AP230&lt;&gt;"","到貨","2次發包中"),IF(AE230&lt;&gt;"",IF(AO230&lt;&gt;"","到貨","發包中"),"")))))</f>
        <v/>
      </c>
      <c r="AW230" s="86">
        <f>IF(OR($AW$6=Y230),$AW$6,"")</f>
        <v/>
      </c>
      <c r="AX230" s="87">
        <f t="array" ref="AX230">IF(OR(AV230:AW230={"到貨","庫存"}),"完成","")</f>
        <v/>
      </c>
      <c r="AY230" s="92">
        <f>E230*$M$1</f>
        <v/>
      </c>
    </row>
    <row r="231" outlineLevel="1" ht="14.25" customHeight="1">
      <c r="A231" s="67" t="n">
        <v>226</v>
      </c>
      <c r="B231" s="526" t="n"/>
      <c r="C231" s="393" t="n"/>
      <c r="D231" s="427" t="n"/>
      <c r="E231" s="526" t="n"/>
      <c r="F231" s="526" t="n"/>
      <c r="G231" s="527" t="n"/>
      <c r="H231" s="393" t="n"/>
      <c r="I231" s="528" t="n"/>
      <c r="J231" s="528" t="n"/>
      <c r="K231" s="528" t="n"/>
      <c r="L231" s="529" t="n"/>
      <c r="M231" s="529" t="n"/>
      <c r="N231" s="530" t="n"/>
      <c r="O231" s="531" t="n"/>
      <c r="P231" s="527" t="n"/>
      <c r="Q231" s="528" t="n"/>
      <c r="R231" s="528" t="n"/>
      <c r="S231" s="528" t="n"/>
      <c r="T231" s="543" t="n"/>
      <c r="U231" s="534" t="n"/>
      <c r="V231" s="516" t="n"/>
      <c r="W231" s="535" t="n"/>
      <c r="X231" s="536" t="n"/>
      <c r="Y231" s="519" t="n"/>
      <c r="Z231" s="683" t="n"/>
      <c r="AA231" s="684" t="n"/>
      <c r="AB231" s="684" t="n"/>
      <c r="AC231" s="684" t="n"/>
      <c r="AD231" s="685" t="n"/>
      <c r="AE231" s="686" t="n"/>
      <c r="AF231" s="684" t="n"/>
      <c r="AG231" s="687" t="n"/>
      <c r="AH231" s="687" t="n"/>
      <c r="AI231" s="684" t="n"/>
      <c r="AJ231" s="686" t="n"/>
      <c r="AK231" s="687" t="n"/>
      <c r="AL231" s="687" t="n"/>
      <c r="AM231" s="687" t="n"/>
      <c r="AN231" s="688" t="n"/>
      <c r="AO231" s="686" t="n"/>
      <c r="AP231" s="689" t="n"/>
      <c r="AQ231" s="689" t="n"/>
      <c r="AR231" s="689" t="n"/>
      <c r="AS231" s="690" t="n"/>
      <c r="AT231" s="691">
        <f>IF(AJ231&lt;&gt;"",(IF(AV231="到貨","",(AJ231-TODAY()))),"")</f>
        <v/>
      </c>
      <c r="AU231" s="692">
        <f>IF(AO231&lt;&gt;"",(AO231-AE231),"")</f>
        <v/>
      </c>
      <c r="AV231" s="86">
        <f>IF(AI231&lt;&gt;"",IF(AS231&lt;&gt;"","到貨","5次發包中"),IF(AH231&lt;&gt;"",IF(AR231&lt;&gt;"","到貨","4次發包中"),IF(AG231&lt;&gt;"",IF(AQ231&lt;&gt;"","到貨","3次發包中"),IF(AF231&lt;&gt;"",IF(AP231&lt;&gt;"","到貨","2次發包中"),IF(AE231&lt;&gt;"",IF(AO231&lt;&gt;"","到貨","發包中"),"")))))</f>
        <v/>
      </c>
      <c r="AW231" s="86">
        <f>IF(OR($AW$6=Y231),$AW$6,"")</f>
        <v/>
      </c>
      <c r="AX231" s="87">
        <f t="array" ref="AX231">IF(OR(AV231:AW231={"到貨","庫存"}),"完成","")</f>
        <v/>
      </c>
      <c r="AY231" s="92">
        <f>E231*$M$1</f>
        <v/>
      </c>
    </row>
    <row r="232" outlineLevel="1" ht="14.25" customHeight="1">
      <c r="A232" s="67" t="n">
        <v>227</v>
      </c>
      <c r="B232" s="526" t="n"/>
      <c r="C232" s="393" t="n"/>
      <c r="D232" s="427" t="n"/>
      <c r="E232" s="526" t="n"/>
      <c r="F232" s="526" t="n"/>
      <c r="G232" s="527" t="n"/>
      <c r="H232" s="393" t="n"/>
      <c r="I232" s="528" t="n"/>
      <c r="J232" s="528" t="n"/>
      <c r="K232" s="528" t="n"/>
      <c r="L232" s="529" t="n"/>
      <c r="M232" s="529" t="n"/>
      <c r="N232" s="530" t="n"/>
      <c r="O232" s="531" t="n"/>
      <c r="P232" s="527" t="n"/>
      <c r="Q232" s="528" t="n"/>
      <c r="R232" s="528" t="n"/>
      <c r="S232" s="528" t="n"/>
      <c r="T232" s="543" t="n"/>
      <c r="U232" s="534" t="n"/>
      <c r="V232" s="516" t="n"/>
      <c r="W232" s="535" t="n"/>
      <c r="X232" s="536" t="n"/>
      <c r="Y232" s="519" t="n"/>
      <c r="Z232" s="683" t="n"/>
      <c r="AA232" s="684" t="n"/>
      <c r="AB232" s="684" t="n"/>
      <c r="AC232" s="684" t="n"/>
      <c r="AD232" s="685" t="n"/>
      <c r="AE232" s="686" t="n"/>
      <c r="AF232" s="684" t="n"/>
      <c r="AG232" s="687" t="n"/>
      <c r="AH232" s="687" t="n"/>
      <c r="AI232" s="684" t="n"/>
      <c r="AJ232" s="686" t="n"/>
      <c r="AK232" s="687" t="n"/>
      <c r="AL232" s="687" t="n"/>
      <c r="AM232" s="687" t="n"/>
      <c r="AN232" s="688" t="n"/>
      <c r="AO232" s="686" t="n"/>
      <c r="AP232" s="689" t="n"/>
      <c r="AQ232" s="689" t="n"/>
      <c r="AR232" s="689" t="n"/>
      <c r="AS232" s="690" t="n"/>
      <c r="AT232" s="691">
        <f>IF(AJ232&lt;&gt;"",(IF(AV232="到貨","",(AJ232-TODAY()))),"")</f>
        <v/>
      </c>
      <c r="AU232" s="692">
        <f>IF(AO232&lt;&gt;"",(AO232-AE232),"")</f>
        <v/>
      </c>
      <c r="AV232" s="86">
        <f>IF(AI232&lt;&gt;"",IF(AS232&lt;&gt;"","到貨","5次發包中"),IF(AH232&lt;&gt;"",IF(AR232&lt;&gt;"","到貨","4次發包中"),IF(AG232&lt;&gt;"",IF(AQ232&lt;&gt;"","到貨","3次發包中"),IF(AF232&lt;&gt;"",IF(AP232&lt;&gt;"","到貨","2次發包中"),IF(AE232&lt;&gt;"",IF(AO232&lt;&gt;"","到貨","發包中"),"")))))</f>
        <v/>
      </c>
      <c r="AW232" s="86">
        <f>IF(OR($AW$6=Y232),$AW$6,"")</f>
        <v/>
      </c>
      <c r="AX232" s="87">
        <f t="array" ref="AX232">IF(OR(AV232:AW232={"到貨","庫存"}),"完成","")</f>
        <v/>
      </c>
      <c r="AY232" s="92">
        <f>E232*$M$1</f>
        <v/>
      </c>
    </row>
    <row r="233" outlineLevel="1" ht="14.25" customHeight="1">
      <c r="A233" s="67" t="n">
        <v>228</v>
      </c>
      <c r="B233" s="526" t="n"/>
      <c r="C233" s="393" t="n"/>
      <c r="D233" s="427" t="n"/>
      <c r="E233" s="526" t="n"/>
      <c r="F233" s="526" t="n"/>
      <c r="G233" s="527" t="n"/>
      <c r="H233" s="393" t="n"/>
      <c r="I233" s="528" t="n"/>
      <c r="J233" s="528" t="n"/>
      <c r="K233" s="528" t="n"/>
      <c r="L233" s="529" t="n"/>
      <c r="M233" s="529" t="n"/>
      <c r="N233" s="530" t="n"/>
      <c r="O233" s="531" t="n"/>
      <c r="P233" s="527" t="n"/>
      <c r="Q233" s="528" t="n"/>
      <c r="R233" s="528" t="n"/>
      <c r="S233" s="528" t="n"/>
      <c r="T233" s="543" t="n"/>
      <c r="U233" s="534" t="n"/>
      <c r="V233" s="516" t="n"/>
      <c r="W233" s="535" t="n"/>
      <c r="X233" s="536" t="n"/>
      <c r="Y233" s="519" t="n"/>
      <c r="Z233" s="683" t="n"/>
      <c r="AA233" s="684" t="n"/>
      <c r="AB233" s="684" t="n"/>
      <c r="AC233" s="684" t="n"/>
      <c r="AD233" s="685" t="n"/>
      <c r="AE233" s="686" t="n"/>
      <c r="AF233" s="684" t="n"/>
      <c r="AG233" s="687" t="n"/>
      <c r="AH233" s="687" t="n"/>
      <c r="AI233" s="684" t="n"/>
      <c r="AJ233" s="686" t="n"/>
      <c r="AK233" s="687" t="n"/>
      <c r="AL233" s="687" t="n"/>
      <c r="AM233" s="687" t="n"/>
      <c r="AN233" s="688" t="n"/>
      <c r="AO233" s="686" t="n"/>
      <c r="AP233" s="689" t="n"/>
      <c r="AQ233" s="689" t="n"/>
      <c r="AR233" s="689" t="n"/>
      <c r="AS233" s="690" t="n"/>
      <c r="AT233" s="691">
        <f>IF(AJ233&lt;&gt;"",(IF(AV233="到貨","",(AJ233-TODAY()))),"")</f>
        <v/>
      </c>
      <c r="AU233" s="692">
        <f>IF(AO233&lt;&gt;"",(AO233-AE233),"")</f>
        <v/>
      </c>
      <c r="AV233" s="86">
        <f>IF(AI233&lt;&gt;"",IF(AS233&lt;&gt;"","到貨","5次發包中"),IF(AH233&lt;&gt;"",IF(AR233&lt;&gt;"","到貨","4次發包中"),IF(AG233&lt;&gt;"",IF(AQ233&lt;&gt;"","到貨","3次發包中"),IF(AF233&lt;&gt;"",IF(AP233&lt;&gt;"","到貨","2次發包中"),IF(AE233&lt;&gt;"",IF(AO233&lt;&gt;"","到貨","發包中"),"")))))</f>
        <v/>
      </c>
      <c r="AW233" s="86">
        <f>IF(OR($AW$6=Y233),$AW$6,"")</f>
        <v/>
      </c>
      <c r="AX233" s="87">
        <f t="array" ref="AX233">IF(OR(AV233:AW233={"到貨","庫存"}),"完成","")</f>
        <v/>
      </c>
      <c r="AY233" s="92">
        <f>E233*$M$1</f>
        <v/>
      </c>
    </row>
    <row r="234" outlineLevel="1" ht="14.25" customHeight="1">
      <c r="A234" s="67" t="n">
        <v>229</v>
      </c>
      <c r="B234" s="526" t="n"/>
      <c r="C234" s="393" t="n"/>
      <c r="D234" s="427" t="n"/>
      <c r="E234" s="526" t="n"/>
      <c r="F234" s="526" t="n"/>
      <c r="G234" s="527" t="n"/>
      <c r="H234" s="393" t="n"/>
      <c r="I234" s="528" t="n"/>
      <c r="J234" s="528" t="n"/>
      <c r="K234" s="528" t="n"/>
      <c r="L234" s="529" t="n"/>
      <c r="M234" s="529" t="n"/>
      <c r="N234" s="530" t="n"/>
      <c r="O234" s="531" t="n"/>
      <c r="P234" s="527" t="n"/>
      <c r="Q234" s="528" t="n"/>
      <c r="R234" s="528" t="n"/>
      <c r="S234" s="528" t="n"/>
      <c r="T234" s="543" t="n"/>
      <c r="U234" s="534" t="n"/>
      <c r="V234" s="516" t="n"/>
      <c r="W234" s="535" t="n"/>
      <c r="X234" s="536" t="n"/>
      <c r="Y234" s="519" t="n"/>
      <c r="Z234" s="683" t="n"/>
      <c r="AA234" s="684" t="n"/>
      <c r="AB234" s="684" t="n"/>
      <c r="AC234" s="684" t="n"/>
      <c r="AD234" s="685" t="n"/>
      <c r="AE234" s="686" t="n"/>
      <c r="AF234" s="684" t="n"/>
      <c r="AG234" s="687" t="n"/>
      <c r="AH234" s="687" t="n"/>
      <c r="AI234" s="684" t="n"/>
      <c r="AJ234" s="686" t="n"/>
      <c r="AK234" s="687" t="n"/>
      <c r="AL234" s="687" t="n"/>
      <c r="AM234" s="687" t="n"/>
      <c r="AN234" s="688" t="n"/>
      <c r="AO234" s="686" t="n"/>
      <c r="AP234" s="689" t="n"/>
      <c r="AQ234" s="689" t="n"/>
      <c r="AR234" s="689" t="n"/>
      <c r="AS234" s="690" t="n"/>
      <c r="AT234" s="691">
        <f>IF(AJ234&lt;&gt;"",(IF(AV234="到貨","",(AJ234-TODAY()))),"")</f>
        <v/>
      </c>
      <c r="AU234" s="692">
        <f>IF(AO234&lt;&gt;"",(AO234-AE234),"")</f>
        <v/>
      </c>
      <c r="AV234" s="86">
        <f>IF(AI234&lt;&gt;"",IF(AS234&lt;&gt;"","到貨","5次發包中"),IF(AH234&lt;&gt;"",IF(AR234&lt;&gt;"","到貨","4次發包中"),IF(AG234&lt;&gt;"",IF(AQ234&lt;&gt;"","到貨","3次發包中"),IF(AF234&lt;&gt;"",IF(AP234&lt;&gt;"","到貨","2次發包中"),IF(AE234&lt;&gt;"",IF(AO234&lt;&gt;"","到貨","發包中"),"")))))</f>
        <v/>
      </c>
      <c r="AW234" s="86">
        <f>IF(OR($AW$6=Y234),$AW$6,"")</f>
        <v/>
      </c>
      <c r="AX234" s="87">
        <f t="array" ref="AX234">IF(OR(AV234:AW234={"到貨","庫存"}),"完成","")</f>
        <v/>
      </c>
      <c r="AY234" s="92">
        <f>E234*$M$1</f>
        <v/>
      </c>
    </row>
    <row r="235" outlineLevel="1" ht="14.25" customHeight="1">
      <c r="A235" s="67" t="n">
        <v>230</v>
      </c>
      <c r="B235" s="526" t="n"/>
      <c r="C235" s="393" t="n"/>
      <c r="D235" s="427" t="n"/>
      <c r="E235" s="526" t="n"/>
      <c r="F235" s="526" t="n"/>
      <c r="G235" s="527" t="n"/>
      <c r="H235" s="393" t="n"/>
      <c r="I235" s="528" t="n"/>
      <c r="J235" s="528" t="n"/>
      <c r="K235" s="528" t="n"/>
      <c r="L235" s="529" t="n"/>
      <c r="M235" s="529" t="n"/>
      <c r="N235" s="530" t="n"/>
      <c r="O235" s="531" t="n"/>
      <c r="P235" s="527" t="n"/>
      <c r="Q235" s="528" t="n"/>
      <c r="R235" s="528" t="n"/>
      <c r="S235" s="528" t="n"/>
      <c r="T235" s="543" t="n"/>
      <c r="U235" s="534" t="n"/>
      <c r="V235" s="516" t="n"/>
      <c r="W235" s="535" t="n"/>
      <c r="X235" s="536" t="n"/>
      <c r="Y235" s="519" t="n"/>
      <c r="Z235" s="683" t="n"/>
      <c r="AA235" s="684" t="n"/>
      <c r="AB235" s="684" t="n"/>
      <c r="AC235" s="684" t="n"/>
      <c r="AD235" s="685" t="n"/>
      <c r="AE235" s="686" t="n"/>
      <c r="AF235" s="684" t="n"/>
      <c r="AG235" s="687" t="n"/>
      <c r="AH235" s="687" t="n"/>
      <c r="AI235" s="684" t="n"/>
      <c r="AJ235" s="686" t="n"/>
      <c r="AK235" s="687" t="n"/>
      <c r="AL235" s="687" t="n"/>
      <c r="AM235" s="687" t="n"/>
      <c r="AN235" s="688" t="n"/>
      <c r="AO235" s="686" t="n"/>
      <c r="AP235" s="689" t="n"/>
      <c r="AQ235" s="689" t="n"/>
      <c r="AR235" s="689" t="n"/>
      <c r="AS235" s="690" t="n"/>
      <c r="AT235" s="691">
        <f>IF(AJ235&lt;&gt;"",(IF(AV235="到貨","",(AJ235-TODAY()))),"")</f>
        <v/>
      </c>
      <c r="AU235" s="692">
        <f>IF(AO235&lt;&gt;"",(AO235-AE235),"")</f>
        <v/>
      </c>
      <c r="AV235" s="86">
        <f>IF(AI235&lt;&gt;"",IF(AS235&lt;&gt;"","到貨","5次發包中"),IF(AH235&lt;&gt;"",IF(AR235&lt;&gt;"","到貨","4次發包中"),IF(AG235&lt;&gt;"",IF(AQ235&lt;&gt;"","到貨","3次發包中"),IF(AF235&lt;&gt;"",IF(AP235&lt;&gt;"","到貨","2次發包中"),IF(AE235&lt;&gt;"",IF(AO235&lt;&gt;"","到貨","發包中"),"")))))</f>
        <v/>
      </c>
      <c r="AW235" s="86">
        <f>IF(OR($AW$6=Y235),$AW$6,"")</f>
        <v/>
      </c>
      <c r="AX235" s="87">
        <f t="array" ref="AX235">IF(OR(AV235:AW235={"到貨","庫存"}),"完成","")</f>
        <v/>
      </c>
      <c r="AY235" s="92">
        <f>E235*$M$1</f>
        <v/>
      </c>
    </row>
    <row r="236" outlineLevel="1" ht="14.25" customHeight="1">
      <c r="A236" s="67" t="n">
        <v>231</v>
      </c>
      <c r="B236" s="526" t="n"/>
      <c r="C236" s="393" t="n"/>
      <c r="D236" s="427" t="n"/>
      <c r="E236" s="526" t="n"/>
      <c r="F236" s="526" t="n"/>
      <c r="G236" s="527" t="n"/>
      <c r="H236" s="393" t="n"/>
      <c r="I236" s="528" t="n"/>
      <c r="J236" s="528" t="n"/>
      <c r="K236" s="528" t="n"/>
      <c r="L236" s="529" t="n"/>
      <c r="M236" s="529" t="n"/>
      <c r="N236" s="530" t="n"/>
      <c r="O236" s="531" t="n"/>
      <c r="P236" s="527" t="n"/>
      <c r="Q236" s="528" t="n"/>
      <c r="R236" s="528" t="n"/>
      <c r="S236" s="528" t="n"/>
      <c r="T236" s="543" t="n"/>
      <c r="U236" s="534" t="n"/>
      <c r="V236" s="516" t="n"/>
      <c r="W236" s="535" t="n"/>
      <c r="X236" s="536" t="n"/>
      <c r="Y236" s="519" t="n"/>
      <c r="Z236" s="683" t="n"/>
      <c r="AA236" s="684" t="n"/>
      <c r="AB236" s="684" t="n"/>
      <c r="AC236" s="684" t="n"/>
      <c r="AD236" s="685" t="n"/>
      <c r="AE236" s="686" t="n"/>
      <c r="AF236" s="684" t="n"/>
      <c r="AG236" s="687" t="n"/>
      <c r="AH236" s="687" t="n"/>
      <c r="AI236" s="684" t="n"/>
      <c r="AJ236" s="686" t="n"/>
      <c r="AK236" s="687" t="n"/>
      <c r="AL236" s="687" t="n"/>
      <c r="AM236" s="687" t="n"/>
      <c r="AN236" s="688" t="n"/>
      <c r="AO236" s="686" t="n"/>
      <c r="AP236" s="689" t="n"/>
      <c r="AQ236" s="689" t="n"/>
      <c r="AR236" s="689" t="n"/>
      <c r="AS236" s="690" t="n"/>
      <c r="AT236" s="691">
        <f>IF(AJ236&lt;&gt;"",(IF(AV236="到貨","",(AJ236-TODAY()))),"")</f>
        <v/>
      </c>
      <c r="AU236" s="692">
        <f>IF(AO236&lt;&gt;"",(AO236-AE236),"")</f>
        <v/>
      </c>
      <c r="AV236" s="86">
        <f>IF(AI236&lt;&gt;"",IF(AS236&lt;&gt;"","到貨","5次發包中"),IF(AH236&lt;&gt;"",IF(AR236&lt;&gt;"","到貨","4次發包中"),IF(AG236&lt;&gt;"",IF(AQ236&lt;&gt;"","到貨","3次發包中"),IF(AF236&lt;&gt;"",IF(AP236&lt;&gt;"","到貨","2次發包中"),IF(AE236&lt;&gt;"",IF(AO236&lt;&gt;"","到貨","發包中"),"")))))</f>
        <v/>
      </c>
      <c r="AW236" s="86">
        <f>IF(OR($AW$6=Y236),$AW$6,"")</f>
        <v/>
      </c>
      <c r="AX236" s="87">
        <f t="array" ref="AX236">IF(OR(AV236:AW236={"到貨","庫存"}),"完成","")</f>
        <v/>
      </c>
      <c r="AY236" s="92">
        <f>E236*$M$1</f>
        <v/>
      </c>
    </row>
    <row r="237" outlineLevel="1" ht="14.25" customHeight="1">
      <c r="A237" s="67" t="n">
        <v>232</v>
      </c>
      <c r="B237" s="526" t="n"/>
      <c r="C237" s="393" t="n"/>
      <c r="D237" s="427" t="n"/>
      <c r="E237" s="526" t="n"/>
      <c r="F237" s="526" t="n"/>
      <c r="G237" s="527" t="n"/>
      <c r="H237" s="393" t="n"/>
      <c r="I237" s="528" t="n"/>
      <c r="J237" s="528" t="n"/>
      <c r="K237" s="528" t="n"/>
      <c r="L237" s="529" t="n"/>
      <c r="M237" s="529" t="n"/>
      <c r="N237" s="530" t="n"/>
      <c r="O237" s="531" t="n"/>
      <c r="P237" s="527" t="n"/>
      <c r="Q237" s="528" t="n"/>
      <c r="R237" s="528" t="n"/>
      <c r="S237" s="528" t="n"/>
      <c r="T237" s="543" t="n"/>
      <c r="U237" s="534" t="n"/>
      <c r="V237" s="516" t="n"/>
      <c r="W237" s="535" t="n"/>
      <c r="X237" s="536" t="n"/>
      <c r="Y237" s="519" t="n"/>
      <c r="Z237" s="683" t="n"/>
      <c r="AA237" s="684" t="n"/>
      <c r="AB237" s="684" t="n"/>
      <c r="AC237" s="684" t="n"/>
      <c r="AD237" s="685" t="n"/>
      <c r="AE237" s="686" t="n"/>
      <c r="AF237" s="684" t="n"/>
      <c r="AG237" s="687" t="n"/>
      <c r="AH237" s="687" t="n"/>
      <c r="AI237" s="684" t="n"/>
      <c r="AJ237" s="686" t="n"/>
      <c r="AK237" s="687" t="n"/>
      <c r="AL237" s="687" t="n"/>
      <c r="AM237" s="687" t="n"/>
      <c r="AN237" s="688" t="n"/>
      <c r="AO237" s="686" t="n"/>
      <c r="AP237" s="689" t="n"/>
      <c r="AQ237" s="689" t="n"/>
      <c r="AR237" s="689" t="n"/>
      <c r="AS237" s="690" t="n"/>
      <c r="AT237" s="691">
        <f>IF(AJ237&lt;&gt;"",(IF(AV237="到貨","",(AJ237-TODAY()))),"")</f>
        <v/>
      </c>
      <c r="AU237" s="692">
        <f>IF(AO237&lt;&gt;"",(AO237-AE237),"")</f>
        <v/>
      </c>
      <c r="AV237" s="86">
        <f>IF(AI237&lt;&gt;"",IF(AS237&lt;&gt;"","到貨","5次發包中"),IF(AH237&lt;&gt;"",IF(AR237&lt;&gt;"","到貨","4次發包中"),IF(AG237&lt;&gt;"",IF(AQ237&lt;&gt;"","到貨","3次發包中"),IF(AF237&lt;&gt;"",IF(AP237&lt;&gt;"","到貨","2次發包中"),IF(AE237&lt;&gt;"",IF(AO237&lt;&gt;"","到貨","發包中"),"")))))</f>
        <v/>
      </c>
      <c r="AW237" s="86">
        <f>IF(OR($AW$6=Y237),$AW$6,"")</f>
        <v/>
      </c>
      <c r="AX237" s="87">
        <f t="array" ref="AX237">IF(OR(AV237:AW237={"到貨","庫存"}),"完成","")</f>
        <v/>
      </c>
      <c r="AY237" s="92">
        <f>E237*$M$1</f>
        <v/>
      </c>
    </row>
    <row r="238" outlineLevel="1" ht="14.25" customHeight="1">
      <c r="A238" s="67" t="n">
        <v>233</v>
      </c>
      <c r="B238" s="526" t="n"/>
      <c r="C238" s="393" t="n"/>
      <c r="D238" s="427" t="n"/>
      <c r="E238" s="526" t="n"/>
      <c r="F238" s="526" t="n"/>
      <c r="G238" s="527" t="n"/>
      <c r="H238" s="393" t="n"/>
      <c r="I238" s="528" t="n"/>
      <c r="J238" s="528" t="n"/>
      <c r="K238" s="528" t="n"/>
      <c r="L238" s="529" t="n"/>
      <c r="M238" s="529" t="n"/>
      <c r="N238" s="530" t="n"/>
      <c r="O238" s="531" t="n"/>
      <c r="P238" s="527" t="n"/>
      <c r="Q238" s="528" t="n"/>
      <c r="R238" s="528" t="n"/>
      <c r="S238" s="528" t="n"/>
      <c r="T238" s="543" t="n"/>
      <c r="U238" s="534" t="n"/>
      <c r="V238" s="516" t="n"/>
      <c r="W238" s="535" t="n"/>
      <c r="X238" s="536" t="n"/>
      <c r="Y238" s="519" t="n"/>
      <c r="Z238" s="683" t="n"/>
      <c r="AA238" s="684" t="n"/>
      <c r="AB238" s="684" t="n"/>
      <c r="AC238" s="684" t="n"/>
      <c r="AD238" s="685" t="n"/>
      <c r="AE238" s="686" t="n"/>
      <c r="AF238" s="684" t="n"/>
      <c r="AG238" s="687" t="n"/>
      <c r="AH238" s="687" t="n"/>
      <c r="AI238" s="684" t="n"/>
      <c r="AJ238" s="686" t="n"/>
      <c r="AK238" s="687" t="n"/>
      <c r="AL238" s="687" t="n"/>
      <c r="AM238" s="687" t="n"/>
      <c r="AN238" s="688" t="n"/>
      <c r="AO238" s="686" t="n"/>
      <c r="AP238" s="689" t="n"/>
      <c r="AQ238" s="689" t="n"/>
      <c r="AR238" s="689" t="n"/>
      <c r="AS238" s="690" t="n"/>
      <c r="AT238" s="691">
        <f>IF(AJ238&lt;&gt;"",(IF(AV238="到貨","",(AJ238-TODAY()))),"")</f>
        <v/>
      </c>
      <c r="AU238" s="692">
        <f>IF(AO238&lt;&gt;"",(AO238-AE238),"")</f>
        <v/>
      </c>
      <c r="AV238" s="86">
        <f>IF(AI238&lt;&gt;"",IF(AS238&lt;&gt;"","到貨","5次發包中"),IF(AH238&lt;&gt;"",IF(AR238&lt;&gt;"","到貨","4次發包中"),IF(AG238&lt;&gt;"",IF(AQ238&lt;&gt;"","到貨","3次發包中"),IF(AF238&lt;&gt;"",IF(AP238&lt;&gt;"","到貨","2次發包中"),IF(AE238&lt;&gt;"",IF(AO238&lt;&gt;"","到貨","發包中"),"")))))</f>
        <v/>
      </c>
      <c r="AW238" s="86">
        <f>IF(OR($AW$6=Y238),$AW$6,"")</f>
        <v/>
      </c>
      <c r="AX238" s="87">
        <f t="array" ref="AX238">IF(OR(AV238:AW238={"到貨","庫存"}),"完成","")</f>
        <v/>
      </c>
      <c r="AY238" s="92">
        <f>E238*$M$1</f>
        <v/>
      </c>
    </row>
    <row r="239" outlineLevel="1" ht="14.25" customHeight="1">
      <c r="A239" s="67" t="n">
        <v>234</v>
      </c>
      <c r="B239" s="526" t="n"/>
      <c r="C239" s="393" t="n"/>
      <c r="D239" s="427" t="n"/>
      <c r="E239" s="526" t="n"/>
      <c r="F239" s="526" t="n"/>
      <c r="G239" s="527" t="n"/>
      <c r="H239" s="393" t="n"/>
      <c r="I239" s="528" t="n"/>
      <c r="J239" s="528" t="n"/>
      <c r="K239" s="528" t="n"/>
      <c r="L239" s="529" t="n"/>
      <c r="M239" s="529" t="n"/>
      <c r="N239" s="530" t="n"/>
      <c r="O239" s="531" t="n"/>
      <c r="P239" s="527" t="n"/>
      <c r="Q239" s="528" t="n"/>
      <c r="R239" s="528" t="n"/>
      <c r="S239" s="528" t="n"/>
      <c r="T239" s="543" t="n"/>
      <c r="U239" s="534" t="n"/>
      <c r="V239" s="516" t="n"/>
      <c r="W239" s="535" t="n"/>
      <c r="X239" s="536" t="n"/>
      <c r="Y239" s="519" t="n"/>
      <c r="Z239" s="683" t="n"/>
      <c r="AA239" s="684" t="n"/>
      <c r="AB239" s="684" t="n"/>
      <c r="AC239" s="684" t="n"/>
      <c r="AD239" s="685" t="n"/>
      <c r="AE239" s="686" t="n"/>
      <c r="AF239" s="684" t="n"/>
      <c r="AG239" s="687" t="n"/>
      <c r="AH239" s="687" t="n"/>
      <c r="AI239" s="684" t="n"/>
      <c r="AJ239" s="686" t="n"/>
      <c r="AK239" s="687" t="n"/>
      <c r="AL239" s="687" t="n"/>
      <c r="AM239" s="687" t="n"/>
      <c r="AN239" s="688" t="n"/>
      <c r="AO239" s="686" t="n"/>
      <c r="AP239" s="689" t="n"/>
      <c r="AQ239" s="689" t="n"/>
      <c r="AR239" s="689" t="n"/>
      <c r="AS239" s="690" t="n"/>
      <c r="AT239" s="691">
        <f>IF(AJ239&lt;&gt;"",(IF(AV239="到貨","",(AJ239-TODAY()))),"")</f>
        <v/>
      </c>
      <c r="AU239" s="692">
        <f>IF(AO239&lt;&gt;"",(AO239-AE239),"")</f>
        <v/>
      </c>
      <c r="AV239" s="86">
        <f>IF(AI239&lt;&gt;"",IF(AS239&lt;&gt;"","到貨","5次發包中"),IF(AH239&lt;&gt;"",IF(AR239&lt;&gt;"","到貨","4次發包中"),IF(AG239&lt;&gt;"",IF(AQ239&lt;&gt;"","到貨","3次發包中"),IF(AF239&lt;&gt;"",IF(AP239&lt;&gt;"","到貨","2次發包中"),IF(AE239&lt;&gt;"",IF(AO239&lt;&gt;"","到貨","發包中"),"")))))</f>
        <v/>
      </c>
      <c r="AW239" s="86">
        <f>IF(OR($AW$6=Y239),$AW$6,"")</f>
        <v/>
      </c>
      <c r="AX239" s="87">
        <f t="array" ref="AX239">IF(OR(AV239:AW239={"到貨","庫存"}),"完成","")</f>
        <v/>
      </c>
      <c r="AY239" s="92">
        <f>E239*$M$1</f>
        <v/>
      </c>
    </row>
    <row r="240" outlineLevel="1" ht="14.25" customHeight="1">
      <c r="A240" s="67" t="n">
        <v>235</v>
      </c>
      <c r="B240" s="526" t="n"/>
      <c r="C240" s="393" t="n"/>
      <c r="D240" s="427" t="n"/>
      <c r="E240" s="526" t="n"/>
      <c r="F240" s="526" t="n"/>
      <c r="G240" s="527" t="n"/>
      <c r="H240" s="393" t="n"/>
      <c r="I240" s="528" t="n"/>
      <c r="J240" s="528" t="n"/>
      <c r="K240" s="528" t="n"/>
      <c r="L240" s="529" t="n"/>
      <c r="M240" s="529" t="n"/>
      <c r="N240" s="530" t="n"/>
      <c r="O240" s="531" t="n"/>
      <c r="P240" s="527" t="n"/>
      <c r="Q240" s="528" t="n"/>
      <c r="R240" s="528" t="n"/>
      <c r="S240" s="528" t="n"/>
      <c r="T240" s="543" t="n"/>
      <c r="U240" s="534" t="n"/>
      <c r="V240" s="516" t="n"/>
      <c r="W240" s="535" t="n"/>
      <c r="X240" s="536" t="n"/>
      <c r="Y240" s="519" t="n"/>
      <c r="Z240" s="683" t="n"/>
      <c r="AA240" s="684" t="n"/>
      <c r="AB240" s="684" t="n"/>
      <c r="AC240" s="684" t="n"/>
      <c r="AD240" s="685" t="n"/>
      <c r="AE240" s="686" t="n"/>
      <c r="AF240" s="684" t="n"/>
      <c r="AG240" s="687" t="n"/>
      <c r="AH240" s="687" t="n"/>
      <c r="AI240" s="684" t="n"/>
      <c r="AJ240" s="686" t="n"/>
      <c r="AK240" s="687" t="n"/>
      <c r="AL240" s="687" t="n"/>
      <c r="AM240" s="687" t="n"/>
      <c r="AN240" s="688" t="n"/>
      <c r="AO240" s="686" t="n"/>
      <c r="AP240" s="689" t="n"/>
      <c r="AQ240" s="689" t="n"/>
      <c r="AR240" s="689" t="n"/>
      <c r="AS240" s="690" t="n"/>
      <c r="AT240" s="691">
        <f>IF(AJ240&lt;&gt;"",(IF(AV240="到貨","",(AJ240-TODAY()))),"")</f>
        <v/>
      </c>
      <c r="AU240" s="692">
        <f>IF(AO240&lt;&gt;"",(AO240-AE240),"")</f>
        <v/>
      </c>
      <c r="AV240" s="86">
        <f>IF(AI240&lt;&gt;"",IF(AS240&lt;&gt;"","到貨","5次發包中"),IF(AH240&lt;&gt;"",IF(AR240&lt;&gt;"","到貨","4次發包中"),IF(AG240&lt;&gt;"",IF(AQ240&lt;&gt;"","到貨","3次發包中"),IF(AF240&lt;&gt;"",IF(AP240&lt;&gt;"","到貨","2次發包中"),IF(AE240&lt;&gt;"",IF(AO240&lt;&gt;"","到貨","發包中"),"")))))</f>
        <v/>
      </c>
      <c r="AW240" s="86">
        <f>IF(OR($AW$6=Y240),$AW$6,"")</f>
        <v/>
      </c>
      <c r="AX240" s="87">
        <f t="array" ref="AX240">IF(OR(AV240:AW240={"到貨","庫存"}),"完成","")</f>
        <v/>
      </c>
      <c r="AY240" s="92">
        <f>E240*$M$1</f>
        <v/>
      </c>
    </row>
    <row r="241" outlineLevel="1" ht="14.25" customHeight="1">
      <c r="A241" s="67" t="n">
        <v>236</v>
      </c>
      <c r="B241" s="526" t="n"/>
      <c r="C241" s="393" t="n"/>
      <c r="D241" s="427" t="n"/>
      <c r="E241" s="526" t="n"/>
      <c r="F241" s="526" t="n"/>
      <c r="G241" s="527" t="n"/>
      <c r="H241" s="393" t="n"/>
      <c r="I241" s="528" t="n"/>
      <c r="J241" s="528" t="n"/>
      <c r="K241" s="528" t="n"/>
      <c r="L241" s="529" t="n"/>
      <c r="M241" s="529" t="n"/>
      <c r="N241" s="530" t="n"/>
      <c r="O241" s="531" t="n"/>
      <c r="P241" s="527" t="n"/>
      <c r="Q241" s="528" t="n"/>
      <c r="R241" s="528" t="n"/>
      <c r="S241" s="528" t="n"/>
      <c r="T241" s="543" t="n"/>
      <c r="U241" s="534" t="n"/>
      <c r="V241" s="516" t="n"/>
      <c r="W241" s="535" t="n"/>
      <c r="X241" s="536" t="n"/>
      <c r="Y241" s="519" t="n"/>
      <c r="Z241" s="683" t="n"/>
      <c r="AA241" s="684" t="n"/>
      <c r="AB241" s="684" t="n"/>
      <c r="AC241" s="684" t="n"/>
      <c r="AD241" s="685" t="n"/>
      <c r="AE241" s="686" t="n"/>
      <c r="AF241" s="684" t="n"/>
      <c r="AG241" s="687" t="n"/>
      <c r="AH241" s="687" t="n"/>
      <c r="AI241" s="684" t="n"/>
      <c r="AJ241" s="686" t="n"/>
      <c r="AK241" s="687" t="n"/>
      <c r="AL241" s="687" t="n"/>
      <c r="AM241" s="687" t="n"/>
      <c r="AN241" s="688" t="n"/>
      <c r="AO241" s="686" t="n"/>
      <c r="AP241" s="689" t="n"/>
      <c r="AQ241" s="689" t="n"/>
      <c r="AR241" s="689" t="n"/>
      <c r="AS241" s="690" t="n"/>
      <c r="AT241" s="691">
        <f>IF(AJ241&lt;&gt;"",(IF(AV241="到貨","",(AJ241-TODAY()))),"")</f>
        <v/>
      </c>
      <c r="AU241" s="692">
        <f>IF(AO241&lt;&gt;"",(AO241-AE241),"")</f>
        <v/>
      </c>
      <c r="AV241" s="86">
        <f>IF(AI241&lt;&gt;"",IF(AS241&lt;&gt;"","到貨","5次發包中"),IF(AH241&lt;&gt;"",IF(AR241&lt;&gt;"","到貨","4次發包中"),IF(AG241&lt;&gt;"",IF(AQ241&lt;&gt;"","到貨","3次發包中"),IF(AF241&lt;&gt;"",IF(AP241&lt;&gt;"","到貨","2次發包中"),IF(AE241&lt;&gt;"",IF(AO241&lt;&gt;"","到貨","發包中"),"")))))</f>
        <v/>
      </c>
      <c r="AW241" s="86">
        <f>IF(OR($AW$6=Y241),$AW$6,"")</f>
        <v/>
      </c>
      <c r="AX241" s="87">
        <f t="array" ref="AX241">IF(OR(AV241:AW241={"到貨","庫存"}),"完成","")</f>
        <v/>
      </c>
      <c r="AY241" s="92">
        <f>E241*$M$1</f>
        <v/>
      </c>
    </row>
    <row r="242" outlineLevel="1" ht="14.25" customHeight="1">
      <c r="A242" s="67" t="n">
        <v>237</v>
      </c>
      <c r="B242" s="526" t="n"/>
      <c r="C242" s="393" t="n"/>
      <c r="D242" s="427" t="n"/>
      <c r="E242" s="526" t="n"/>
      <c r="F242" s="526" t="n"/>
      <c r="G242" s="527" t="n"/>
      <c r="H242" s="393" t="n"/>
      <c r="I242" s="528" t="n"/>
      <c r="J242" s="528" t="n"/>
      <c r="K242" s="528" t="n"/>
      <c r="L242" s="529" t="n"/>
      <c r="M242" s="529" t="n"/>
      <c r="N242" s="530" t="n"/>
      <c r="O242" s="531" t="n"/>
      <c r="P242" s="527" t="n"/>
      <c r="Q242" s="528" t="n"/>
      <c r="R242" s="528" t="n"/>
      <c r="S242" s="528" t="n"/>
      <c r="T242" s="543" t="n"/>
      <c r="U242" s="534" t="n"/>
      <c r="V242" s="516" t="n"/>
      <c r="W242" s="535" t="n"/>
      <c r="X242" s="536" t="n"/>
      <c r="Y242" s="519" t="n"/>
      <c r="Z242" s="683" t="n"/>
      <c r="AA242" s="684" t="n"/>
      <c r="AB242" s="684" t="n"/>
      <c r="AC242" s="684" t="n"/>
      <c r="AD242" s="685" t="n"/>
      <c r="AE242" s="686" t="n"/>
      <c r="AF242" s="684" t="n"/>
      <c r="AG242" s="687" t="n"/>
      <c r="AH242" s="687" t="n"/>
      <c r="AI242" s="684" t="n"/>
      <c r="AJ242" s="686" t="n"/>
      <c r="AK242" s="687" t="n"/>
      <c r="AL242" s="687" t="n"/>
      <c r="AM242" s="687" t="n"/>
      <c r="AN242" s="688" t="n"/>
      <c r="AO242" s="686" t="n"/>
      <c r="AP242" s="689" t="n"/>
      <c r="AQ242" s="689" t="n"/>
      <c r="AR242" s="689" t="n"/>
      <c r="AS242" s="690" t="n"/>
      <c r="AT242" s="691">
        <f>IF(AJ242&lt;&gt;"",(IF(AV242="到貨","",(AJ242-TODAY()))),"")</f>
        <v/>
      </c>
      <c r="AU242" s="692">
        <f>IF(AO242&lt;&gt;"",(AO242-AE242),"")</f>
        <v/>
      </c>
      <c r="AV242" s="86">
        <f>IF(AI242&lt;&gt;"",IF(AS242&lt;&gt;"","到貨","5次發包中"),IF(AH242&lt;&gt;"",IF(AR242&lt;&gt;"","到貨","4次發包中"),IF(AG242&lt;&gt;"",IF(AQ242&lt;&gt;"","到貨","3次發包中"),IF(AF242&lt;&gt;"",IF(AP242&lt;&gt;"","到貨","2次發包中"),IF(AE242&lt;&gt;"",IF(AO242&lt;&gt;"","到貨","發包中"),"")))))</f>
        <v/>
      </c>
      <c r="AW242" s="86">
        <f>IF(OR($AW$6=Y242),$AW$6,"")</f>
        <v/>
      </c>
      <c r="AX242" s="87">
        <f t="array" ref="AX242">IF(OR(AV242:AW242={"到貨","庫存"}),"完成","")</f>
        <v/>
      </c>
      <c r="AY242" s="92">
        <f>E242*$M$1</f>
        <v/>
      </c>
    </row>
    <row r="243" outlineLevel="1" ht="14.25" customHeight="1">
      <c r="A243" s="67" t="n">
        <v>238</v>
      </c>
      <c r="B243" s="526" t="n"/>
      <c r="C243" s="393" t="n"/>
      <c r="D243" s="427" t="n"/>
      <c r="E243" s="526" t="n"/>
      <c r="F243" s="526" t="n"/>
      <c r="G243" s="527" t="n"/>
      <c r="H243" s="393" t="n"/>
      <c r="I243" s="528" t="n"/>
      <c r="J243" s="528" t="n"/>
      <c r="K243" s="528" t="n"/>
      <c r="L243" s="529" t="n"/>
      <c r="M243" s="529" t="n"/>
      <c r="N243" s="530" t="n"/>
      <c r="O243" s="531" t="n"/>
      <c r="P243" s="527" t="n"/>
      <c r="Q243" s="528" t="n"/>
      <c r="R243" s="528" t="n"/>
      <c r="S243" s="528" t="n"/>
      <c r="T243" s="543" t="n"/>
      <c r="U243" s="534" t="n"/>
      <c r="V243" s="516" t="n"/>
      <c r="W243" s="535" t="n"/>
      <c r="X243" s="536" t="n"/>
      <c r="Y243" s="519" t="n"/>
      <c r="Z243" s="683" t="n"/>
      <c r="AA243" s="684" t="n"/>
      <c r="AB243" s="684" t="n"/>
      <c r="AC243" s="684" t="n"/>
      <c r="AD243" s="685" t="n"/>
      <c r="AE243" s="686" t="n"/>
      <c r="AF243" s="684" t="n"/>
      <c r="AG243" s="687" t="n"/>
      <c r="AH243" s="687" t="n"/>
      <c r="AI243" s="684" t="n"/>
      <c r="AJ243" s="686" t="n"/>
      <c r="AK243" s="687" t="n"/>
      <c r="AL243" s="687" t="n"/>
      <c r="AM243" s="687" t="n"/>
      <c r="AN243" s="688" t="n"/>
      <c r="AO243" s="686" t="n"/>
      <c r="AP243" s="689" t="n"/>
      <c r="AQ243" s="689" t="n"/>
      <c r="AR243" s="689" t="n"/>
      <c r="AS243" s="690" t="n"/>
      <c r="AT243" s="691">
        <f>IF(AJ243&lt;&gt;"",(IF(AV243="到貨","",(AJ243-TODAY()))),"")</f>
        <v/>
      </c>
      <c r="AU243" s="692">
        <f>IF(AO243&lt;&gt;"",(AO243-AE243),"")</f>
        <v/>
      </c>
      <c r="AV243" s="86">
        <f>IF(AI243&lt;&gt;"",IF(AS243&lt;&gt;"","到貨","5次發包中"),IF(AH243&lt;&gt;"",IF(AR243&lt;&gt;"","到貨","4次發包中"),IF(AG243&lt;&gt;"",IF(AQ243&lt;&gt;"","到貨","3次發包中"),IF(AF243&lt;&gt;"",IF(AP243&lt;&gt;"","到貨","2次發包中"),IF(AE243&lt;&gt;"",IF(AO243&lt;&gt;"","到貨","發包中"),"")))))</f>
        <v/>
      </c>
      <c r="AW243" s="86">
        <f>IF(OR($AW$6=Y243),$AW$6,"")</f>
        <v/>
      </c>
      <c r="AX243" s="87">
        <f t="array" ref="AX243">IF(OR(AV243:AW243={"到貨","庫存"}),"完成","")</f>
        <v/>
      </c>
      <c r="AY243" s="92">
        <f>E243*$M$1</f>
        <v/>
      </c>
    </row>
    <row r="244" outlineLevel="1" ht="14.25" customHeight="1">
      <c r="A244" s="67" t="n">
        <v>239</v>
      </c>
      <c r="B244" s="526" t="n"/>
      <c r="C244" s="393" t="n"/>
      <c r="D244" s="427" t="n"/>
      <c r="E244" s="526" t="n"/>
      <c r="F244" s="526" t="n"/>
      <c r="G244" s="527" t="n"/>
      <c r="H244" s="393" t="n"/>
      <c r="I244" s="528" t="n"/>
      <c r="J244" s="528" t="n"/>
      <c r="K244" s="528" t="n"/>
      <c r="L244" s="529" t="n"/>
      <c r="M244" s="529" t="n"/>
      <c r="N244" s="530" t="n"/>
      <c r="O244" s="531" t="n"/>
      <c r="P244" s="527" t="n"/>
      <c r="Q244" s="528" t="n"/>
      <c r="R244" s="528" t="n"/>
      <c r="S244" s="528" t="n"/>
      <c r="T244" s="543" t="n"/>
      <c r="U244" s="534" t="n"/>
      <c r="V244" s="516" t="n"/>
      <c r="W244" s="535" t="n"/>
      <c r="X244" s="536" t="n"/>
      <c r="Y244" s="519" t="n"/>
      <c r="Z244" s="683" t="n"/>
      <c r="AA244" s="684" t="n"/>
      <c r="AB244" s="684" t="n"/>
      <c r="AC244" s="684" t="n"/>
      <c r="AD244" s="685" t="n"/>
      <c r="AE244" s="686" t="n"/>
      <c r="AF244" s="684" t="n"/>
      <c r="AG244" s="687" t="n"/>
      <c r="AH244" s="687" t="n"/>
      <c r="AI244" s="684" t="n"/>
      <c r="AJ244" s="686" t="n"/>
      <c r="AK244" s="687" t="n"/>
      <c r="AL244" s="687" t="n"/>
      <c r="AM244" s="687" t="n"/>
      <c r="AN244" s="688" t="n"/>
      <c r="AO244" s="686" t="n"/>
      <c r="AP244" s="689" t="n"/>
      <c r="AQ244" s="689" t="n"/>
      <c r="AR244" s="689" t="n"/>
      <c r="AS244" s="690" t="n"/>
      <c r="AT244" s="691">
        <f>IF(AJ244&lt;&gt;"",(IF(AV244="到貨","",(AJ244-TODAY()))),"")</f>
        <v/>
      </c>
      <c r="AU244" s="692">
        <f>IF(AO244&lt;&gt;"",(AO244-AE244),"")</f>
        <v/>
      </c>
      <c r="AV244" s="86">
        <f>IF(AI244&lt;&gt;"",IF(AS244&lt;&gt;"","到貨","5次發包中"),IF(AH244&lt;&gt;"",IF(AR244&lt;&gt;"","到貨","4次發包中"),IF(AG244&lt;&gt;"",IF(AQ244&lt;&gt;"","到貨","3次發包中"),IF(AF244&lt;&gt;"",IF(AP244&lt;&gt;"","到貨","2次發包中"),IF(AE244&lt;&gt;"",IF(AO244&lt;&gt;"","到貨","發包中"),"")))))</f>
        <v/>
      </c>
      <c r="AW244" s="86">
        <f>IF(OR($AW$6=Y244),$AW$6,"")</f>
        <v/>
      </c>
      <c r="AX244" s="87">
        <f t="array" ref="AX244">IF(OR(AV244:AW244={"到貨","庫存"}),"完成","")</f>
        <v/>
      </c>
      <c r="AY244" s="92">
        <f>E244*$M$1</f>
        <v/>
      </c>
    </row>
    <row r="245" outlineLevel="1" ht="14.25" customHeight="1">
      <c r="A245" s="67" t="n">
        <v>240</v>
      </c>
      <c r="B245" s="526" t="n"/>
      <c r="C245" s="393" t="n"/>
      <c r="D245" s="427" t="n"/>
      <c r="E245" s="526" t="n"/>
      <c r="F245" s="526" t="n"/>
      <c r="G245" s="527" t="n"/>
      <c r="H245" s="393" t="n"/>
      <c r="I245" s="528" t="n"/>
      <c r="J245" s="528" t="n"/>
      <c r="K245" s="528" t="n"/>
      <c r="L245" s="529" t="n"/>
      <c r="M245" s="529" t="n"/>
      <c r="N245" s="530" t="n"/>
      <c r="O245" s="531" t="n"/>
      <c r="P245" s="527" t="n"/>
      <c r="Q245" s="528" t="n"/>
      <c r="R245" s="528" t="n"/>
      <c r="S245" s="528" t="n"/>
      <c r="T245" s="543" t="n"/>
      <c r="U245" s="534" t="n"/>
      <c r="V245" s="516" t="n"/>
      <c r="W245" s="535" t="n"/>
      <c r="X245" s="536" t="n"/>
      <c r="Y245" s="519" t="n"/>
      <c r="Z245" s="683" t="n"/>
      <c r="AA245" s="684" t="n"/>
      <c r="AB245" s="684" t="n"/>
      <c r="AC245" s="684" t="n"/>
      <c r="AD245" s="685" t="n"/>
      <c r="AE245" s="686" t="n"/>
      <c r="AF245" s="684" t="n"/>
      <c r="AG245" s="687" t="n"/>
      <c r="AH245" s="687" t="n"/>
      <c r="AI245" s="684" t="n"/>
      <c r="AJ245" s="686" t="n"/>
      <c r="AK245" s="687" t="n"/>
      <c r="AL245" s="687" t="n"/>
      <c r="AM245" s="687" t="n"/>
      <c r="AN245" s="688" t="n"/>
      <c r="AO245" s="686" t="n"/>
      <c r="AP245" s="689" t="n"/>
      <c r="AQ245" s="689" t="n"/>
      <c r="AR245" s="689" t="n"/>
      <c r="AS245" s="690" t="n"/>
      <c r="AT245" s="691">
        <f>IF(AJ245&lt;&gt;"",(IF(AV245="到貨","",(AJ245-TODAY()))),"")</f>
        <v/>
      </c>
      <c r="AU245" s="692">
        <f>IF(AO245&lt;&gt;"",(AO245-AE245),"")</f>
        <v/>
      </c>
      <c r="AV245" s="86">
        <f>IF(AI245&lt;&gt;"",IF(AS245&lt;&gt;"","到貨","5次發包中"),IF(AH245&lt;&gt;"",IF(AR245&lt;&gt;"","到貨","4次發包中"),IF(AG245&lt;&gt;"",IF(AQ245&lt;&gt;"","到貨","3次發包中"),IF(AF245&lt;&gt;"",IF(AP245&lt;&gt;"","到貨","2次發包中"),IF(AE245&lt;&gt;"",IF(AO245&lt;&gt;"","到貨","發包中"),"")))))</f>
        <v/>
      </c>
      <c r="AW245" s="86">
        <f>IF(OR($AW$6=Y245),$AW$6,"")</f>
        <v/>
      </c>
      <c r="AX245" s="87">
        <f t="array" ref="AX245">IF(OR(AV245:AW245={"到貨","庫存"}),"完成","")</f>
        <v/>
      </c>
      <c r="AY245" s="92">
        <f>E245*$M$1</f>
        <v/>
      </c>
    </row>
    <row r="246" outlineLevel="1" ht="14.25" customHeight="1">
      <c r="A246" s="67" t="n">
        <v>241</v>
      </c>
      <c r="B246" s="526" t="n"/>
      <c r="C246" s="393" t="n"/>
      <c r="D246" s="427" t="n"/>
      <c r="E246" s="526" t="n"/>
      <c r="F246" s="526" t="n"/>
      <c r="G246" s="527" t="n"/>
      <c r="H246" s="393" t="n"/>
      <c r="I246" s="528" t="n"/>
      <c r="J246" s="528" t="n"/>
      <c r="K246" s="528" t="n"/>
      <c r="L246" s="529" t="n"/>
      <c r="M246" s="529" t="n"/>
      <c r="N246" s="530" t="n"/>
      <c r="O246" s="531" t="n"/>
      <c r="P246" s="527" t="n"/>
      <c r="Q246" s="528" t="n"/>
      <c r="R246" s="528" t="n"/>
      <c r="S246" s="528" t="n"/>
      <c r="T246" s="543" t="n"/>
      <c r="U246" s="534" t="n"/>
      <c r="V246" s="516" t="n"/>
      <c r="W246" s="535" t="n"/>
      <c r="X246" s="536" t="n"/>
      <c r="Y246" s="519" t="n"/>
      <c r="Z246" s="683" t="n"/>
      <c r="AA246" s="684" t="n"/>
      <c r="AB246" s="684" t="n"/>
      <c r="AC246" s="684" t="n"/>
      <c r="AD246" s="685" t="n"/>
      <c r="AE246" s="686" t="n"/>
      <c r="AF246" s="684" t="n"/>
      <c r="AG246" s="687" t="n"/>
      <c r="AH246" s="687" t="n"/>
      <c r="AI246" s="684" t="n"/>
      <c r="AJ246" s="686" t="n"/>
      <c r="AK246" s="687" t="n"/>
      <c r="AL246" s="687" t="n"/>
      <c r="AM246" s="687" t="n"/>
      <c r="AN246" s="688" t="n"/>
      <c r="AO246" s="686" t="n"/>
      <c r="AP246" s="689" t="n"/>
      <c r="AQ246" s="689" t="n"/>
      <c r="AR246" s="689" t="n"/>
      <c r="AS246" s="690" t="n"/>
      <c r="AT246" s="691">
        <f>IF(AJ246&lt;&gt;"",(IF(AV246="到貨","",(AJ246-TODAY()))),"")</f>
        <v/>
      </c>
      <c r="AU246" s="692">
        <f>IF(AO246&lt;&gt;"",(AO246-AE246),"")</f>
        <v/>
      </c>
      <c r="AV246" s="86">
        <f>IF(AI246&lt;&gt;"",IF(AS246&lt;&gt;"","到貨","5次發包中"),IF(AH246&lt;&gt;"",IF(AR246&lt;&gt;"","到貨","4次發包中"),IF(AG246&lt;&gt;"",IF(AQ246&lt;&gt;"","到貨","3次發包中"),IF(AF246&lt;&gt;"",IF(AP246&lt;&gt;"","到貨","2次發包中"),IF(AE246&lt;&gt;"",IF(AO246&lt;&gt;"","到貨","發包中"),"")))))</f>
        <v/>
      </c>
      <c r="AW246" s="86">
        <f>IF(OR($AW$6=Y246),$AW$6,"")</f>
        <v/>
      </c>
      <c r="AX246" s="87">
        <f t="array" ref="AX246">IF(OR(AV246:AW246={"到貨","庫存"}),"完成","")</f>
        <v/>
      </c>
      <c r="AY246" s="92">
        <f>E246*$M$1</f>
        <v/>
      </c>
    </row>
    <row r="247" outlineLevel="1" ht="14.25" customHeight="1">
      <c r="A247" s="67" t="n">
        <v>242</v>
      </c>
      <c r="B247" s="526" t="n"/>
      <c r="C247" s="393" t="n"/>
      <c r="D247" s="427" t="n"/>
      <c r="E247" s="526" t="n"/>
      <c r="F247" s="526" t="n"/>
      <c r="G247" s="527" t="n"/>
      <c r="H247" s="393" t="n"/>
      <c r="I247" s="528" t="n"/>
      <c r="J247" s="528" t="n"/>
      <c r="K247" s="528" t="n"/>
      <c r="L247" s="529" t="n"/>
      <c r="M247" s="529" t="n"/>
      <c r="N247" s="530" t="n"/>
      <c r="O247" s="531" t="n"/>
      <c r="P247" s="527" t="n"/>
      <c r="Q247" s="528" t="n"/>
      <c r="R247" s="528" t="n"/>
      <c r="S247" s="528" t="n"/>
      <c r="T247" s="543" t="n"/>
      <c r="U247" s="534" t="n"/>
      <c r="V247" s="516" t="n"/>
      <c r="W247" s="535" t="n"/>
      <c r="X247" s="536" t="n"/>
      <c r="Y247" s="519" t="n"/>
      <c r="Z247" s="683" t="n"/>
      <c r="AA247" s="684" t="n"/>
      <c r="AB247" s="684" t="n"/>
      <c r="AC247" s="684" t="n"/>
      <c r="AD247" s="685" t="n"/>
      <c r="AE247" s="686" t="n"/>
      <c r="AF247" s="684" t="n"/>
      <c r="AG247" s="687" t="n"/>
      <c r="AH247" s="687" t="n"/>
      <c r="AI247" s="684" t="n"/>
      <c r="AJ247" s="686" t="n"/>
      <c r="AK247" s="687" t="n"/>
      <c r="AL247" s="687" t="n"/>
      <c r="AM247" s="687" t="n"/>
      <c r="AN247" s="688" t="n"/>
      <c r="AO247" s="686" t="n"/>
      <c r="AP247" s="689" t="n"/>
      <c r="AQ247" s="689" t="n"/>
      <c r="AR247" s="689" t="n"/>
      <c r="AS247" s="690" t="n"/>
      <c r="AT247" s="691">
        <f>IF(AJ247&lt;&gt;"",(IF(AV247="到貨","",(AJ247-TODAY()))),"")</f>
        <v/>
      </c>
      <c r="AU247" s="692">
        <f>IF(AO247&lt;&gt;"",(AO247-AE247),"")</f>
        <v/>
      </c>
      <c r="AV247" s="86">
        <f>IF(AI247&lt;&gt;"",IF(AS247&lt;&gt;"","到貨","5次發包中"),IF(AH247&lt;&gt;"",IF(AR247&lt;&gt;"","到貨","4次發包中"),IF(AG247&lt;&gt;"",IF(AQ247&lt;&gt;"","到貨","3次發包中"),IF(AF247&lt;&gt;"",IF(AP247&lt;&gt;"","到貨","2次發包中"),IF(AE247&lt;&gt;"",IF(AO247&lt;&gt;"","到貨","發包中"),"")))))</f>
        <v/>
      </c>
      <c r="AW247" s="86">
        <f>IF(OR($AW$6=Y247),$AW$6,"")</f>
        <v/>
      </c>
      <c r="AX247" s="87">
        <f t="array" ref="AX247">IF(OR(AV247:AW247={"到貨","庫存"}),"完成","")</f>
        <v/>
      </c>
      <c r="AY247" s="92">
        <f>E247*$M$1</f>
        <v/>
      </c>
    </row>
    <row r="248" outlineLevel="1" ht="14.25" customHeight="1">
      <c r="A248" s="67" t="n">
        <v>243</v>
      </c>
      <c r="B248" s="526" t="n"/>
      <c r="C248" s="393" t="n"/>
      <c r="D248" s="427" t="n"/>
      <c r="E248" s="526" t="n"/>
      <c r="F248" s="526" t="n"/>
      <c r="G248" s="527" t="n"/>
      <c r="H248" s="393" t="n"/>
      <c r="I248" s="528" t="n"/>
      <c r="J248" s="528" t="n"/>
      <c r="K248" s="528" t="n"/>
      <c r="L248" s="529" t="n"/>
      <c r="M248" s="529" t="n"/>
      <c r="N248" s="530" t="n"/>
      <c r="O248" s="531" t="n"/>
      <c r="P248" s="527" t="n"/>
      <c r="Q248" s="528" t="n"/>
      <c r="R248" s="528" t="n"/>
      <c r="S248" s="528" t="n"/>
      <c r="T248" s="543" t="n"/>
      <c r="U248" s="534" t="n"/>
      <c r="V248" s="516" t="n"/>
      <c r="W248" s="535" t="n"/>
      <c r="X248" s="536" t="n"/>
      <c r="Y248" s="519" t="n"/>
      <c r="Z248" s="683" t="n"/>
      <c r="AA248" s="684" t="n"/>
      <c r="AB248" s="684" t="n"/>
      <c r="AC248" s="684" t="n"/>
      <c r="AD248" s="685" t="n"/>
      <c r="AE248" s="686" t="n"/>
      <c r="AF248" s="684" t="n"/>
      <c r="AG248" s="687" t="n"/>
      <c r="AH248" s="687" t="n"/>
      <c r="AI248" s="684" t="n"/>
      <c r="AJ248" s="686" t="n"/>
      <c r="AK248" s="687" t="n"/>
      <c r="AL248" s="687" t="n"/>
      <c r="AM248" s="687" t="n"/>
      <c r="AN248" s="688" t="n"/>
      <c r="AO248" s="686" t="n"/>
      <c r="AP248" s="689" t="n"/>
      <c r="AQ248" s="689" t="n"/>
      <c r="AR248" s="689" t="n"/>
      <c r="AS248" s="690" t="n"/>
      <c r="AT248" s="691">
        <f>IF(AJ248&lt;&gt;"",(IF(AV248="到貨","",(AJ248-TODAY()))),"")</f>
        <v/>
      </c>
      <c r="AU248" s="692">
        <f>IF(AO248&lt;&gt;"",(AO248-AE248),"")</f>
        <v/>
      </c>
      <c r="AV248" s="86">
        <f>IF(AI248&lt;&gt;"",IF(AS248&lt;&gt;"","到貨","5次發包中"),IF(AH248&lt;&gt;"",IF(AR248&lt;&gt;"","到貨","4次發包中"),IF(AG248&lt;&gt;"",IF(AQ248&lt;&gt;"","到貨","3次發包中"),IF(AF248&lt;&gt;"",IF(AP248&lt;&gt;"","到貨","2次發包中"),IF(AE248&lt;&gt;"",IF(AO248&lt;&gt;"","到貨","發包中"),"")))))</f>
        <v/>
      </c>
      <c r="AW248" s="86">
        <f>IF(OR($AW$6=Y248),$AW$6,"")</f>
        <v/>
      </c>
      <c r="AX248" s="87">
        <f t="array" ref="AX248">IF(OR(AV248:AW248={"到貨","庫存"}),"完成","")</f>
        <v/>
      </c>
      <c r="AY248" s="92">
        <f>E248*$M$1</f>
        <v/>
      </c>
    </row>
    <row r="249" outlineLevel="1" ht="14.25" customHeight="1">
      <c r="A249" s="67" t="n">
        <v>244</v>
      </c>
      <c r="B249" s="526" t="n"/>
      <c r="C249" s="393" t="n"/>
      <c r="D249" s="427" t="n"/>
      <c r="E249" s="526" t="n"/>
      <c r="F249" s="526" t="n"/>
      <c r="G249" s="527" t="n"/>
      <c r="H249" s="393" t="n"/>
      <c r="I249" s="528" t="n"/>
      <c r="J249" s="528" t="n"/>
      <c r="K249" s="528" t="n"/>
      <c r="L249" s="529" t="n"/>
      <c r="M249" s="529" t="n"/>
      <c r="N249" s="530" t="n"/>
      <c r="O249" s="531" t="n"/>
      <c r="P249" s="527" t="n"/>
      <c r="Q249" s="528" t="n"/>
      <c r="R249" s="528" t="n"/>
      <c r="S249" s="528" t="n"/>
      <c r="T249" s="543" t="n"/>
      <c r="U249" s="534" t="n"/>
      <c r="V249" s="516" t="n"/>
      <c r="W249" s="535" t="n"/>
      <c r="X249" s="536" t="n"/>
      <c r="Y249" s="519" t="n"/>
      <c r="Z249" s="683" t="n"/>
      <c r="AA249" s="684" t="n"/>
      <c r="AB249" s="684" t="n"/>
      <c r="AC249" s="684" t="n"/>
      <c r="AD249" s="685" t="n"/>
      <c r="AE249" s="686" t="n"/>
      <c r="AF249" s="684" t="n"/>
      <c r="AG249" s="687" t="n"/>
      <c r="AH249" s="687" t="n"/>
      <c r="AI249" s="684" t="n"/>
      <c r="AJ249" s="686" t="n"/>
      <c r="AK249" s="687" t="n"/>
      <c r="AL249" s="687" t="n"/>
      <c r="AM249" s="687" t="n"/>
      <c r="AN249" s="688" t="n"/>
      <c r="AO249" s="686" t="n"/>
      <c r="AP249" s="689" t="n"/>
      <c r="AQ249" s="689" t="n"/>
      <c r="AR249" s="689" t="n"/>
      <c r="AS249" s="690" t="n"/>
      <c r="AT249" s="691">
        <f>IF(AJ249&lt;&gt;"",(IF(AV249="到貨","",(AJ249-TODAY()))),"")</f>
        <v/>
      </c>
      <c r="AU249" s="692">
        <f>IF(AO249&lt;&gt;"",(AO249-AE249),"")</f>
        <v/>
      </c>
      <c r="AV249" s="86">
        <f>IF(AI249&lt;&gt;"",IF(AS249&lt;&gt;"","到貨","5次發包中"),IF(AH249&lt;&gt;"",IF(AR249&lt;&gt;"","到貨","4次發包中"),IF(AG249&lt;&gt;"",IF(AQ249&lt;&gt;"","到貨","3次發包中"),IF(AF249&lt;&gt;"",IF(AP249&lt;&gt;"","到貨","2次發包中"),IF(AE249&lt;&gt;"",IF(AO249&lt;&gt;"","到貨","發包中"),"")))))</f>
        <v/>
      </c>
      <c r="AW249" s="86">
        <f>IF(OR($AW$6=Y249),$AW$6,"")</f>
        <v/>
      </c>
      <c r="AX249" s="87">
        <f t="array" ref="AX249">IF(OR(AV249:AW249={"到貨","庫存"}),"完成","")</f>
        <v/>
      </c>
      <c r="AY249" s="92">
        <f>E249*$M$1</f>
        <v/>
      </c>
    </row>
    <row r="250" outlineLevel="1" ht="14.25" customHeight="1">
      <c r="A250" s="67" t="n">
        <v>245</v>
      </c>
      <c r="B250" s="526" t="n"/>
      <c r="C250" s="393" t="n"/>
      <c r="D250" s="427" t="n"/>
      <c r="E250" s="526" t="n"/>
      <c r="F250" s="526" t="n"/>
      <c r="G250" s="527" t="n"/>
      <c r="H250" s="393" t="n"/>
      <c r="I250" s="528" t="n"/>
      <c r="J250" s="528" t="n"/>
      <c r="K250" s="528" t="n"/>
      <c r="L250" s="529" t="n"/>
      <c r="M250" s="529" t="n"/>
      <c r="N250" s="530" t="n"/>
      <c r="O250" s="531" t="n"/>
      <c r="P250" s="527" t="n"/>
      <c r="Q250" s="528" t="n"/>
      <c r="R250" s="528" t="n"/>
      <c r="S250" s="528" t="n"/>
      <c r="T250" s="543" t="n"/>
      <c r="U250" s="534" t="n"/>
      <c r="V250" s="516" t="n"/>
      <c r="W250" s="535" t="n"/>
      <c r="X250" s="536" t="n"/>
      <c r="Y250" s="519" t="n"/>
      <c r="Z250" s="683" t="n"/>
      <c r="AA250" s="684" t="n"/>
      <c r="AB250" s="684" t="n"/>
      <c r="AC250" s="684" t="n"/>
      <c r="AD250" s="685" t="n"/>
      <c r="AE250" s="686" t="n"/>
      <c r="AF250" s="684" t="n"/>
      <c r="AG250" s="687" t="n"/>
      <c r="AH250" s="687" t="n"/>
      <c r="AI250" s="684" t="n"/>
      <c r="AJ250" s="686" t="n"/>
      <c r="AK250" s="687" t="n"/>
      <c r="AL250" s="687" t="n"/>
      <c r="AM250" s="687" t="n"/>
      <c r="AN250" s="688" t="n"/>
      <c r="AO250" s="686" t="n"/>
      <c r="AP250" s="689" t="n"/>
      <c r="AQ250" s="689" t="n"/>
      <c r="AR250" s="689" t="n"/>
      <c r="AS250" s="690" t="n"/>
      <c r="AT250" s="691">
        <f>IF(AJ250&lt;&gt;"",(IF(AV250="到貨","",(AJ250-TODAY()))),"")</f>
        <v/>
      </c>
      <c r="AU250" s="692">
        <f>IF(AO250&lt;&gt;"",(AO250-AE250),"")</f>
        <v/>
      </c>
      <c r="AV250" s="86">
        <f>IF(AI250&lt;&gt;"",IF(AS250&lt;&gt;"","到貨","5次發包中"),IF(AH250&lt;&gt;"",IF(AR250&lt;&gt;"","到貨","4次發包中"),IF(AG250&lt;&gt;"",IF(AQ250&lt;&gt;"","到貨","3次發包中"),IF(AF250&lt;&gt;"",IF(AP250&lt;&gt;"","到貨","2次發包中"),IF(AE250&lt;&gt;"",IF(AO250&lt;&gt;"","到貨","發包中"),"")))))</f>
        <v/>
      </c>
      <c r="AW250" s="86">
        <f>IF(OR($AW$6=Y250),$AW$6,"")</f>
        <v/>
      </c>
      <c r="AX250" s="87">
        <f t="array" ref="AX250">IF(OR(AV250:AW250={"到貨","庫存"}),"完成","")</f>
        <v/>
      </c>
      <c r="AY250" s="92">
        <f>E250*$M$1</f>
        <v/>
      </c>
    </row>
    <row r="251" outlineLevel="1" ht="14.25" customHeight="1">
      <c r="A251" s="67" t="n">
        <v>246</v>
      </c>
      <c r="B251" s="526" t="n"/>
      <c r="C251" s="393" t="n"/>
      <c r="D251" s="427" t="n"/>
      <c r="E251" s="526" t="n"/>
      <c r="F251" s="526" t="n"/>
      <c r="G251" s="527" t="n"/>
      <c r="H251" s="393" t="n"/>
      <c r="I251" s="528" t="n"/>
      <c r="J251" s="528" t="n"/>
      <c r="K251" s="528" t="n"/>
      <c r="L251" s="529" t="n"/>
      <c r="M251" s="529" t="n"/>
      <c r="N251" s="530" t="n"/>
      <c r="O251" s="531" t="n"/>
      <c r="P251" s="527" t="n"/>
      <c r="Q251" s="528" t="n"/>
      <c r="R251" s="528" t="n"/>
      <c r="S251" s="528" t="n"/>
      <c r="T251" s="543" t="n"/>
      <c r="U251" s="534" t="n"/>
      <c r="V251" s="516" t="n"/>
      <c r="W251" s="535" t="n"/>
      <c r="X251" s="536" t="n"/>
      <c r="Y251" s="519" t="n"/>
      <c r="Z251" s="683" t="n"/>
      <c r="AA251" s="684" t="n"/>
      <c r="AB251" s="684" t="n"/>
      <c r="AC251" s="684" t="n"/>
      <c r="AD251" s="685" t="n"/>
      <c r="AE251" s="686" t="n"/>
      <c r="AF251" s="684" t="n"/>
      <c r="AG251" s="687" t="n"/>
      <c r="AH251" s="687" t="n"/>
      <c r="AI251" s="684" t="n"/>
      <c r="AJ251" s="686" t="n"/>
      <c r="AK251" s="687" t="n"/>
      <c r="AL251" s="687" t="n"/>
      <c r="AM251" s="687" t="n"/>
      <c r="AN251" s="688" t="n"/>
      <c r="AO251" s="686" t="n"/>
      <c r="AP251" s="689" t="n"/>
      <c r="AQ251" s="689" t="n"/>
      <c r="AR251" s="689" t="n"/>
      <c r="AS251" s="690" t="n"/>
      <c r="AT251" s="691">
        <f>IF(AJ251&lt;&gt;"",(IF(AV251="到貨","",(AJ251-TODAY()))),"")</f>
        <v/>
      </c>
      <c r="AU251" s="692">
        <f>IF(AO251&lt;&gt;"",(AO251-AE251),"")</f>
        <v/>
      </c>
      <c r="AV251" s="86">
        <f>IF(AI251&lt;&gt;"",IF(AS251&lt;&gt;"","到貨","5次發包中"),IF(AH251&lt;&gt;"",IF(AR251&lt;&gt;"","到貨","4次發包中"),IF(AG251&lt;&gt;"",IF(AQ251&lt;&gt;"","到貨","3次發包中"),IF(AF251&lt;&gt;"",IF(AP251&lt;&gt;"","到貨","2次發包中"),IF(AE251&lt;&gt;"",IF(AO251&lt;&gt;"","到貨","發包中"),"")))))</f>
        <v/>
      </c>
      <c r="AW251" s="86">
        <f>IF(OR($AW$6=Y251),$AW$6,"")</f>
        <v/>
      </c>
      <c r="AX251" s="87">
        <f t="array" ref="AX251">IF(OR(AV251:AW251={"到貨","庫存"}),"完成","")</f>
        <v/>
      </c>
      <c r="AY251" s="92">
        <f>E251*$M$1</f>
        <v/>
      </c>
    </row>
    <row r="252" outlineLevel="1" ht="14.25" customHeight="1">
      <c r="A252" s="67" t="n">
        <v>247</v>
      </c>
      <c r="B252" s="526" t="n"/>
      <c r="C252" s="393" t="n"/>
      <c r="D252" s="427" t="n"/>
      <c r="E252" s="526" t="n"/>
      <c r="F252" s="526" t="n"/>
      <c r="G252" s="527" t="n"/>
      <c r="H252" s="393" t="n"/>
      <c r="I252" s="528" t="n"/>
      <c r="J252" s="528" t="n"/>
      <c r="K252" s="528" t="n"/>
      <c r="L252" s="529" t="n"/>
      <c r="M252" s="529" t="n"/>
      <c r="N252" s="530" t="n"/>
      <c r="O252" s="531" t="n"/>
      <c r="P252" s="527" t="n"/>
      <c r="Q252" s="528" t="n"/>
      <c r="R252" s="528" t="n"/>
      <c r="S252" s="528" t="n"/>
      <c r="T252" s="543" t="n"/>
      <c r="U252" s="534" t="n"/>
      <c r="V252" s="516" t="n"/>
      <c r="W252" s="535" t="n"/>
      <c r="X252" s="536" t="n"/>
      <c r="Y252" s="519" t="n"/>
      <c r="Z252" s="683" t="n"/>
      <c r="AA252" s="684" t="n"/>
      <c r="AB252" s="684" t="n"/>
      <c r="AC252" s="684" t="n"/>
      <c r="AD252" s="685" t="n"/>
      <c r="AE252" s="686" t="n"/>
      <c r="AF252" s="684" t="n"/>
      <c r="AG252" s="687" t="n"/>
      <c r="AH252" s="687" t="n"/>
      <c r="AI252" s="684" t="n"/>
      <c r="AJ252" s="686" t="n"/>
      <c r="AK252" s="687" t="n"/>
      <c r="AL252" s="687" t="n"/>
      <c r="AM252" s="687" t="n"/>
      <c r="AN252" s="688" t="n"/>
      <c r="AO252" s="686" t="n"/>
      <c r="AP252" s="689" t="n"/>
      <c r="AQ252" s="689" t="n"/>
      <c r="AR252" s="689" t="n"/>
      <c r="AS252" s="690" t="n"/>
      <c r="AT252" s="691">
        <f>IF(AJ252&lt;&gt;"",(IF(AV252="到貨","",(AJ252-TODAY()))),"")</f>
        <v/>
      </c>
      <c r="AU252" s="692">
        <f>IF(AO252&lt;&gt;"",(AO252-AE252),"")</f>
        <v/>
      </c>
      <c r="AV252" s="86">
        <f>IF(AI252&lt;&gt;"",IF(AS252&lt;&gt;"","到貨","5次發包中"),IF(AH252&lt;&gt;"",IF(AR252&lt;&gt;"","到貨","4次發包中"),IF(AG252&lt;&gt;"",IF(AQ252&lt;&gt;"","到貨","3次發包中"),IF(AF252&lt;&gt;"",IF(AP252&lt;&gt;"","到貨","2次發包中"),IF(AE252&lt;&gt;"",IF(AO252&lt;&gt;"","到貨","發包中"),"")))))</f>
        <v/>
      </c>
      <c r="AW252" s="86">
        <f>IF(OR($AW$6=Y252),$AW$6,"")</f>
        <v/>
      </c>
      <c r="AX252" s="87">
        <f t="array" ref="AX252">IF(OR(AV252:AW252={"到貨","庫存"}),"完成","")</f>
        <v/>
      </c>
      <c r="AY252" s="92">
        <f>E252*$M$1</f>
        <v/>
      </c>
    </row>
    <row r="253" outlineLevel="1" ht="14.25" customHeight="1">
      <c r="A253" s="67" t="n">
        <v>248</v>
      </c>
      <c r="B253" s="526" t="n"/>
      <c r="C253" s="393" t="n"/>
      <c r="D253" s="427" t="n"/>
      <c r="E253" s="526" t="n"/>
      <c r="F253" s="526" t="n"/>
      <c r="G253" s="527" t="n"/>
      <c r="H253" s="393" t="n"/>
      <c r="I253" s="528" t="n"/>
      <c r="J253" s="528" t="n"/>
      <c r="K253" s="528" t="n"/>
      <c r="L253" s="529" t="n"/>
      <c r="M253" s="529" t="n"/>
      <c r="N253" s="530" t="n"/>
      <c r="O253" s="531" t="n"/>
      <c r="P253" s="527" t="n"/>
      <c r="Q253" s="528" t="n"/>
      <c r="R253" s="528" t="n"/>
      <c r="S253" s="528" t="n"/>
      <c r="T253" s="543" t="n"/>
      <c r="U253" s="534" t="n"/>
      <c r="V253" s="516" t="n"/>
      <c r="W253" s="535" t="n"/>
      <c r="X253" s="536" t="n"/>
      <c r="Y253" s="519" t="n"/>
      <c r="Z253" s="683" t="n"/>
      <c r="AA253" s="684" t="n"/>
      <c r="AB253" s="684" t="n"/>
      <c r="AC253" s="684" t="n"/>
      <c r="AD253" s="685" t="n"/>
      <c r="AE253" s="686" t="n"/>
      <c r="AF253" s="684" t="n"/>
      <c r="AG253" s="687" t="n"/>
      <c r="AH253" s="687" t="n"/>
      <c r="AI253" s="684" t="n"/>
      <c r="AJ253" s="686" t="n"/>
      <c r="AK253" s="687" t="n"/>
      <c r="AL253" s="687" t="n"/>
      <c r="AM253" s="687" t="n"/>
      <c r="AN253" s="688" t="n"/>
      <c r="AO253" s="686" t="n"/>
      <c r="AP253" s="689" t="n"/>
      <c r="AQ253" s="689" t="n"/>
      <c r="AR253" s="689" t="n"/>
      <c r="AS253" s="690" t="n"/>
      <c r="AT253" s="691">
        <f>IF(AJ253&lt;&gt;"",(IF(AV253="到貨","",(AJ253-TODAY()))),"")</f>
        <v/>
      </c>
      <c r="AU253" s="692">
        <f>IF(AO253&lt;&gt;"",(AO253-AE253),"")</f>
        <v/>
      </c>
      <c r="AV253" s="86">
        <f>IF(AI253&lt;&gt;"",IF(AS253&lt;&gt;"","到貨","5次發包中"),IF(AH253&lt;&gt;"",IF(AR253&lt;&gt;"","到貨","4次發包中"),IF(AG253&lt;&gt;"",IF(AQ253&lt;&gt;"","到貨","3次發包中"),IF(AF253&lt;&gt;"",IF(AP253&lt;&gt;"","到貨","2次發包中"),IF(AE253&lt;&gt;"",IF(AO253&lt;&gt;"","到貨","發包中"),"")))))</f>
        <v/>
      </c>
      <c r="AW253" s="86">
        <f>IF(OR($AW$6=Y253),$AW$6,"")</f>
        <v/>
      </c>
      <c r="AX253" s="87">
        <f t="array" ref="AX253">IF(OR(AV253:AW253={"到貨","庫存"}),"完成","")</f>
        <v/>
      </c>
      <c r="AY253" s="92">
        <f>E253*$M$1</f>
        <v/>
      </c>
    </row>
    <row r="254" outlineLevel="1" ht="14.25" customHeight="1">
      <c r="A254" s="67" t="n">
        <v>249</v>
      </c>
      <c r="B254" s="526" t="n"/>
      <c r="C254" s="393" t="n"/>
      <c r="D254" s="427" t="n"/>
      <c r="E254" s="526" t="n"/>
      <c r="F254" s="526" t="n"/>
      <c r="G254" s="527" t="n"/>
      <c r="H254" s="393" t="n"/>
      <c r="I254" s="528" t="n"/>
      <c r="J254" s="528" t="n"/>
      <c r="K254" s="528" t="n"/>
      <c r="L254" s="529" t="n"/>
      <c r="M254" s="529" t="n"/>
      <c r="N254" s="530" t="n"/>
      <c r="O254" s="531" t="n"/>
      <c r="P254" s="527" t="n"/>
      <c r="Q254" s="528" t="n"/>
      <c r="R254" s="528" t="n"/>
      <c r="S254" s="528" t="n"/>
      <c r="T254" s="543" t="n"/>
      <c r="U254" s="534" t="n"/>
      <c r="V254" s="516" t="n"/>
      <c r="W254" s="535" t="n"/>
      <c r="X254" s="536" t="n"/>
      <c r="Y254" s="519" t="n"/>
      <c r="Z254" s="683" t="n"/>
      <c r="AA254" s="684" t="n"/>
      <c r="AB254" s="684" t="n"/>
      <c r="AC254" s="684" t="n"/>
      <c r="AD254" s="685" t="n"/>
      <c r="AE254" s="686" t="n"/>
      <c r="AF254" s="684" t="n"/>
      <c r="AG254" s="687" t="n"/>
      <c r="AH254" s="687" t="n"/>
      <c r="AI254" s="684" t="n"/>
      <c r="AJ254" s="686" t="n"/>
      <c r="AK254" s="687" t="n"/>
      <c r="AL254" s="687" t="n"/>
      <c r="AM254" s="687" t="n"/>
      <c r="AN254" s="688" t="n"/>
      <c r="AO254" s="686" t="n"/>
      <c r="AP254" s="689" t="n"/>
      <c r="AQ254" s="689" t="n"/>
      <c r="AR254" s="689" t="n"/>
      <c r="AS254" s="690" t="n"/>
      <c r="AT254" s="691">
        <f>IF(AJ254&lt;&gt;"",(IF(AV254="到貨","",(AJ254-TODAY()))),"")</f>
        <v/>
      </c>
      <c r="AU254" s="692">
        <f>IF(AO254&lt;&gt;"",(AO254-AE254),"")</f>
        <v/>
      </c>
      <c r="AV254" s="86">
        <f>IF(AI254&lt;&gt;"",IF(AS254&lt;&gt;"","到貨","5次發包中"),IF(AH254&lt;&gt;"",IF(AR254&lt;&gt;"","到貨","4次發包中"),IF(AG254&lt;&gt;"",IF(AQ254&lt;&gt;"","到貨","3次發包中"),IF(AF254&lt;&gt;"",IF(AP254&lt;&gt;"","到貨","2次發包中"),IF(AE254&lt;&gt;"",IF(AO254&lt;&gt;"","到貨","發包中"),"")))))</f>
        <v/>
      </c>
      <c r="AW254" s="86">
        <f>IF(OR($AW$6=Y254),$AW$6,"")</f>
        <v/>
      </c>
      <c r="AX254" s="87">
        <f t="array" ref="AX254">IF(OR(AV254:AW254={"到貨","庫存"}),"完成","")</f>
        <v/>
      </c>
      <c r="AY254" s="92">
        <f>E254*$M$1</f>
        <v/>
      </c>
    </row>
    <row r="255" outlineLevel="1" ht="14.25" customHeight="1">
      <c r="A255" s="67" t="n">
        <v>250</v>
      </c>
      <c r="B255" s="526" t="n"/>
      <c r="C255" s="393" t="n"/>
      <c r="D255" s="427" t="n"/>
      <c r="E255" s="526" t="n"/>
      <c r="F255" s="526" t="n"/>
      <c r="G255" s="527" t="n"/>
      <c r="H255" s="393" t="n"/>
      <c r="I255" s="528" t="n"/>
      <c r="J255" s="528" t="n"/>
      <c r="K255" s="528" t="n"/>
      <c r="L255" s="529" t="n"/>
      <c r="M255" s="529" t="n"/>
      <c r="N255" s="530" t="n"/>
      <c r="O255" s="531" t="n"/>
      <c r="P255" s="527" t="n"/>
      <c r="Q255" s="528" t="n"/>
      <c r="R255" s="528" t="n"/>
      <c r="S255" s="528" t="n"/>
      <c r="T255" s="543" t="n"/>
      <c r="U255" s="534" t="n"/>
      <c r="V255" s="516" t="n"/>
      <c r="W255" s="535" t="n"/>
      <c r="X255" s="536" t="n"/>
      <c r="Y255" s="519" t="n"/>
      <c r="Z255" s="683" t="n"/>
      <c r="AA255" s="684" t="n"/>
      <c r="AB255" s="684" t="n"/>
      <c r="AC255" s="684" t="n"/>
      <c r="AD255" s="685" t="n"/>
      <c r="AE255" s="686" t="n"/>
      <c r="AF255" s="684" t="n"/>
      <c r="AG255" s="687" t="n"/>
      <c r="AH255" s="687" t="n"/>
      <c r="AI255" s="684" t="n"/>
      <c r="AJ255" s="686" t="n"/>
      <c r="AK255" s="687" t="n"/>
      <c r="AL255" s="687" t="n"/>
      <c r="AM255" s="687" t="n"/>
      <c r="AN255" s="688" t="n"/>
      <c r="AO255" s="686" t="n"/>
      <c r="AP255" s="689" t="n"/>
      <c r="AQ255" s="689" t="n"/>
      <c r="AR255" s="689" t="n"/>
      <c r="AS255" s="690" t="n"/>
      <c r="AT255" s="691">
        <f>IF(AJ255&lt;&gt;"",(IF(AV255="到貨","",(AJ255-TODAY()))),"")</f>
        <v/>
      </c>
      <c r="AU255" s="692">
        <f>IF(AO255&lt;&gt;"",(AO255-AE255),"")</f>
        <v/>
      </c>
      <c r="AV255" s="86">
        <f>IF(AI255&lt;&gt;"",IF(AS255&lt;&gt;"","到貨","5次發包中"),IF(AH255&lt;&gt;"",IF(AR255&lt;&gt;"","到貨","4次發包中"),IF(AG255&lt;&gt;"",IF(AQ255&lt;&gt;"","到貨","3次發包中"),IF(AF255&lt;&gt;"",IF(AP255&lt;&gt;"","到貨","2次發包中"),IF(AE255&lt;&gt;"",IF(AO255&lt;&gt;"","到貨","發包中"),"")))))</f>
        <v/>
      </c>
      <c r="AW255" s="86">
        <f>IF(OR($AW$6=Y255),$AW$6,"")</f>
        <v/>
      </c>
      <c r="AX255" s="87">
        <f t="array" ref="AX255">IF(OR(AV255:AW255={"到貨","庫存"}),"完成","")</f>
        <v/>
      </c>
      <c r="AY255" s="92">
        <f>E255*$M$1</f>
        <v/>
      </c>
    </row>
    <row r="256" outlineLevel="1" ht="14.25" customHeight="1">
      <c r="A256" s="67" t="n">
        <v>251</v>
      </c>
      <c r="B256" s="526" t="n"/>
      <c r="C256" s="393" t="n"/>
      <c r="D256" s="427" t="n"/>
      <c r="E256" s="526" t="n"/>
      <c r="F256" s="526" t="n"/>
      <c r="G256" s="527" t="n"/>
      <c r="H256" s="393" t="n"/>
      <c r="I256" s="528" t="n"/>
      <c r="J256" s="528" t="n"/>
      <c r="K256" s="528" t="n"/>
      <c r="L256" s="529" t="n"/>
      <c r="M256" s="529" t="n"/>
      <c r="N256" s="530" t="n"/>
      <c r="O256" s="531" t="n"/>
      <c r="P256" s="527" t="n"/>
      <c r="Q256" s="528" t="n"/>
      <c r="R256" s="528" t="n"/>
      <c r="S256" s="528" t="n"/>
      <c r="T256" s="543" t="n"/>
      <c r="U256" s="534" t="n"/>
      <c r="V256" s="516" t="n"/>
      <c r="W256" s="535" t="n"/>
      <c r="X256" s="536" t="n"/>
      <c r="Y256" s="519" t="n"/>
      <c r="Z256" s="683" t="n"/>
      <c r="AA256" s="684" t="n"/>
      <c r="AB256" s="684" t="n"/>
      <c r="AC256" s="684" t="n"/>
      <c r="AD256" s="685" t="n"/>
      <c r="AE256" s="686" t="n"/>
      <c r="AF256" s="684" t="n"/>
      <c r="AG256" s="687" t="n"/>
      <c r="AH256" s="687" t="n"/>
      <c r="AI256" s="684" t="n"/>
      <c r="AJ256" s="686" t="n"/>
      <c r="AK256" s="687" t="n"/>
      <c r="AL256" s="687" t="n"/>
      <c r="AM256" s="687" t="n"/>
      <c r="AN256" s="688" t="n"/>
      <c r="AO256" s="686" t="n"/>
      <c r="AP256" s="689" t="n"/>
      <c r="AQ256" s="689" t="n"/>
      <c r="AR256" s="689" t="n"/>
      <c r="AS256" s="690" t="n"/>
      <c r="AT256" s="691">
        <f>IF(AJ256&lt;&gt;"",(IF(AV256="到貨","",(AJ256-TODAY()))),"")</f>
        <v/>
      </c>
      <c r="AU256" s="692">
        <f>IF(AO256&lt;&gt;"",(AO256-AE256),"")</f>
        <v/>
      </c>
      <c r="AV256" s="86">
        <f>IF(AI256&lt;&gt;"",IF(AS256&lt;&gt;"","到貨","5次發包中"),IF(AH256&lt;&gt;"",IF(AR256&lt;&gt;"","到貨","4次發包中"),IF(AG256&lt;&gt;"",IF(AQ256&lt;&gt;"","到貨","3次發包中"),IF(AF256&lt;&gt;"",IF(AP256&lt;&gt;"","到貨","2次發包中"),IF(AE256&lt;&gt;"",IF(AO256&lt;&gt;"","到貨","發包中"),"")))))</f>
        <v/>
      </c>
      <c r="AW256" s="86">
        <f>IF(OR($AW$6=Y256),$AW$6,"")</f>
        <v/>
      </c>
      <c r="AX256" s="87">
        <f t="array" ref="AX256">IF(OR(AV256:AW256={"到貨","庫存"}),"完成","")</f>
        <v/>
      </c>
      <c r="AY256" s="92">
        <f>E256*$M$1</f>
        <v/>
      </c>
    </row>
    <row r="257" outlineLevel="1" ht="14.25" customHeight="1">
      <c r="A257" s="67" t="n">
        <v>252</v>
      </c>
      <c r="B257" s="526" t="n"/>
      <c r="C257" s="393" t="n"/>
      <c r="D257" s="427" t="n"/>
      <c r="E257" s="526" t="n"/>
      <c r="F257" s="526" t="n"/>
      <c r="G257" s="527" t="n"/>
      <c r="H257" s="393" t="n"/>
      <c r="I257" s="528" t="n"/>
      <c r="J257" s="528" t="n"/>
      <c r="K257" s="528" t="n"/>
      <c r="L257" s="529" t="n"/>
      <c r="M257" s="529" t="n"/>
      <c r="N257" s="530" t="n"/>
      <c r="O257" s="531" t="n"/>
      <c r="P257" s="527" t="n"/>
      <c r="Q257" s="528" t="n"/>
      <c r="R257" s="528" t="n"/>
      <c r="S257" s="528" t="n"/>
      <c r="T257" s="543" t="n"/>
      <c r="U257" s="534" t="n"/>
      <c r="V257" s="516" t="n"/>
      <c r="W257" s="535" t="n"/>
      <c r="X257" s="536" t="n"/>
      <c r="Y257" s="519" t="n"/>
      <c r="Z257" s="683" t="n"/>
      <c r="AA257" s="684" t="n"/>
      <c r="AB257" s="684" t="n"/>
      <c r="AC257" s="684" t="n"/>
      <c r="AD257" s="685" t="n"/>
      <c r="AE257" s="686" t="n"/>
      <c r="AF257" s="684" t="n"/>
      <c r="AG257" s="687" t="n"/>
      <c r="AH257" s="687" t="n"/>
      <c r="AI257" s="684" t="n"/>
      <c r="AJ257" s="686" t="n"/>
      <c r="AK257" s="687" t="n"/>
      <c r="AL257" s="687" t="n"/>
      <c r="AM257" s="687" t="n"/>
      <c r="AN257" s="688" t="n"/>
      <c r="AO257" s="686" t="n"/>
      <c r="AP257" s="689" t="n"/>
      <c r="AQ257" s="689" t="n"/>
      <c r="AR257" s="689" t="n"/>
      <c r="AS257" s="690" t="n"/>
      <c r="AT257" s="691">
        <f>IF(AJ257&lt;&gt;"",(IF(AV257="到貨","",(AJ257-TODAY()))),"")</f>
        <v/>
      </c>
      <c r="AU257" s="692">
        <f>IF(AO257&lt;&gt;"",(AO257-AE257),"")</f>
        <v/>
      </c>
      <c r="AV257" s="86">
        <f>IF(AI257&lt;&gt;"",IF(AS257&lt;&gt;"","到貨","5次發包中"),IF(AH257&lt;&gt;"",IF(AR257&lt;&gt;"","到貨","4次發包中"),IF(AG257&lt;&gt;"",IF(AQ257&lt;&gt;"","到貨","3次發包中"),IF(AF257&lt;&gt;"",IF(AP257&lt;&gt;"","到貨","2次發包中"),IF(AE257&lt;&gt;"",IF(AO257&lt;&gt;"","到貨","發包中"),"")))))</f>
        <v/>
      </c>
      <c r="AW257" s="86">
        <f>IF(OR($AW$6=Y257),$AW$6,"")</f>
        <v/>
      </c>
      <c r="AX257" s="87">
        <f t="array" ref="AX257">IF(OR(AV257:AW257={"到貨","庫存"}),"完成","")</f>
        <v/>
      </c>
      <c r="AY257" s="92">
        <f>E257*$M$1</f>
        <v/>
      </c>
    </row>
    <row r="258" outlineLevel="1" ht="14.25" customHeight="1">
      <c r="A258" s="67" t="n">
        <v>253</v>
      </c>
      <c r="B258" s="526" t="n"/>
      <c r="C258" s="393" t="n"/>
      <c r="D258" s="427" t="n"/>
      <c r="E258" s="526" t="n"/>
      <c r="F258" s="526" t="n"/>
      <c r="G258" s="527" t="n"/>
      <c r="H258" s="393" t="n"/>
      <c r="I258" s="528" t="n"/>
      <c r="J258" s="528" t="n"/>
      <c r="K258" s="528" t="n"/>
      <c r="L258" s="529" t="n"/>
      <c r="M258" s="529" t="n"/>
      <c r="N258" s="530" t="n"/>
      <c r="O258" s="531" t="n"/>
      <c r="P258" s="527" t="n"/>
      <c r="Q258" s="528" t="n"/>
      <c r="R258" s="528" t="n"/>
      <c r="S258" s="528" t="n"/>
      <c r="T258" s="543" t="n"/>
      <c r="U258" s="534" t="n"/>
      <c r="V258" s="516" t="n"/>
      <c r="W258" s="535" t="n"/>
      <c r="X258" s="536" t="n"/>
      <c r="Y258" s="519" t="n"/>
      <c r="Z258" s="683" t="n"/>
      <c r="AA258" s="684" t="n"/>
      <c r="AB258" s="684" t="n"/>
      <c r="AC258" s="684" t="n"/>
      <c r="AD258" s="685" t="n"/>
      <c r="AE258" s="686" t="n"/>
      <c r="AF258" s="684" t="n"/>
      <c r="AG258" s="687" t="n"/>
      <c r="AH258" s="687" t="n"/>
      <c r="AI258" s="684" t="n"/>
      <c r="AJ258" s="686" t="n"/>
      <c r="AK258" s="687" t="n"/>
      <c r="AL258" s="687" t="n"/>
      <c r="AM258" s="687" t="n"/>
      <c r="AN258" s="688" t="n"/>
      <c r="AO258" s="686" t="n"/>
      <c r="AP258" s="689" t="n"/>
      <c r="AQ258" s="689" t="n"/>
      <c r="AR258" s="689" t="n"/>
      <c r="AS258" s="690" t="n"/>
      <c r="AT258" s="691">
        <f>IF(AJ258&lt;&gt;"",(IF(AV258="到貨","",(AJ258-TODAY()))),"")</f>
        <v/>
      </c>
      <c r="AU258" s="692">
        <f>IF(AO258&lt;&gt;"",(AO258-AE258),"")</f>
        <v/>
      </c>
      <c r="AV258" s="86">
        <f>IF(AI258&lt;&gt;"",IF(AS258&lt;&gt;"","到貨","5次發包中"),IF(AH258&lt;&gt;"",IF(AR258&lt;&gt;"","到貨","4次發包中"),IF(AG258&lt;&gt;"",IF(AQ258&lt;&gt;"","到貨","3次發包中"),IF(AF258&lt;&gt;"",IF(AP258&lt;&gt;"","到貨","2次發包中"),IF(AE258&lt;&gt;"",IF(AO258&lt;&gt;"","到貨","發包中"),"")))))</f>
        <v/>
      </c>
      <c r="AW258" s="86">
        <f>IF(OR($AW$6=Y258),$AW$6,"")</f>
        <v/>
      </c>
      <c r="AX258" s="87">
        <f t="array" ref="AX258">IF(OR(AV258:AW258={"到貨","庫存"}),"完成","")</f>
        <v/>
      </c>
      <c r="AY258" s="92">
        <f>E258*$M$1</f>
        <v/>
      </c>
    </row>
    <row r="259" outlineLevel="1" ht="14.25" customHeight="1">
      <c r="A259" s="67" t="n">
        <v>254</v>
      </c>
      <c r="B259" s="526" t="n"/>
      <c r="C259" s="393" t="n"/>
      <c r="D259" s="427" t="n"/>
      <c r="E259" s="526" t="n"/>
      <c r="F259" s="526" t="n"/>
      <c r="G259" s="527" t="n"/>
      <c r="H259" s="393" t="n"/>
      <c r="I259" s="528" t="n"/>
      <c r="J259" s="528" t="n"/>
      <c r="K259" s="528" t="n"/>
      <c r="L259" s="529" t="n"/>
      <c r="M259" s="529" t="n"/>
      <c r="N259" s="530" t="n"/>
      <c r="O259" s="531" t="n"/>
      <c r="P259" s="527" t="n"/>
      <c r="Q259" s="528" t="n"/>
      <c r="R259" s="528" t="n"/>
      <c r="S259" s="528" t="n"/>
      <c r="T259" s="543" t="n"/>
      <c r="U259" s="534" t="n"/>
      <c r="V259" s="516" t="n"/>
      <c r="W259" s="535" t="n"/>
      <c r="X259" s="536" t="n"/>
      <c r="Y259" s="519" t="n"/>
      <c r="Z259" s="683" t="n"/>
      <c r="AA259" s="684" t="n"/>
      <c r="AB259" s="684" t="n"/>
      <c r="AC259" s="684" t="n"/>
      <c r="AD259" s="685" t="n"/>
      <c r="AE259" s="686" t="n"/>
      <c r="AF259" s="684" t="n"/>
      <c r="AG259" s="687" t="n"/>
      <c r="AH259" s="687" t="n"/>
      <c r="AI259" s="684" t="n"/>
      <c r="AJ259" s="686" t="n"/>
      <c r="AK259" s="687" t="n"/>
      <c r="AL259" s="687" t="n"/>
      <c r="AM259" s="687" t="n"/>
      <c r="AN259" s="688" t="n"/>
      <c r="AO259" s="686" t="n"/>
      <c r="AP259" s="689" t="n"/>
      <c r="AQ259" s="689" t="n"/>
      <c r="AR259" s="689" t="n"/>
      <c r="AS259" s="690" t="n"/>
      <c r="AT259" s="691">
        <f>IF(AJ259&lt;&gt;"",(IF(AV259="到貨","",(AJ259-TODAY()))),"")</f>
        <v/>
      </c>
      <c r="AU259" s="692">
        <f>IF(AO259&lt;&gt;"",(AO259-AE259),"")</f>
        <v/>
      </c>
      <c r="AV259" s="86">
        <f>IF(AI259&lt;&gt;"",IF(AS259&lt;&gt;"","到貨","5次發包中"),IF(AH259&lt;&gt;"",IF(AR259&lt;&gt;"","到貨","4次發包中"),IF(AG259&lt;&gt;"",IF(AQ259&lt;&gt;"","到貨","3次發包中"),IF(AF259&lt;&gt;"",IF(AP259&lt;&gt;"","到貨","2次發包中"),IF(AE259&lt;&gt;"",IF(AO259&lt;&gt;"","到貨","發包中"),"")))))</f>
        <v/>
      </c>
      <c r="AW259" s="86">
        <f>IF(OR($AW$6=Y259),$AW$6,"")</f>
        <v/>
      </c>
      <c r="AX259" s="87">
        <f t="array" ref="AX259">IF(OR(AV259:AW259={"到貨","庫存"}),"完成","")</f>
        <v/>
      </c>
      <c r="AY259" s="92">
        <f>E259*$M$1</f>
        <v/>
      </c>
    </row>
    <row r="260" outlineLevel="1" ht="14.25" customHeight="1">
      <c r="A260" s="67" t="n">
        <v>255</v>
      </c>
      <c r="B260" s="526" t="n"/>
      <c r="C260" s="393" t="n"/>
      <c r="D260" s="427" t="n"/>
      <c r="E260" s="526" t="n"/>
      <c r="F260" s="526" t="n"/>
      <c r="G260" s="527" t="n"/>
      <c r="H260" s="393" t="n"/>
      <c r="I260" s="528" t="n"/>
      <c r="J260" s="528" t="n"/>
      <c r="K260" s="528" t="n"/>
      <c r="L260" s="529" t="n"/>
      <c r="M260" s="529" t="n"/>
      <c r="N260" s="530" t="n"/>
      <c r="O260" s="531" t="n"/>
      <c r="P260" s="527" t="n"/>
      <c r="Q260" s="528" t="n"/>
      <c r="R260" s="528" t="n"/>
      <c r="S260" s="528" t="n"/>
      <c r="T260" s="543" t="n"/>
      <c r="U260" s="534" t="n"/>
      <c r="V260" s="516" t="n"/>
      <c r="W260" s="535" t="n"/>
      <c r="X260" s="536" t="n"/>
      <c r="Y260" s="519" t="n"/>
      <c r="Z260" s="683" t="n"/>
      <c r="AA260" s="684" t="n"/>
      <c r="AB260" s="684" t="n"/>
      <c r="AC260" s="684" t="n"/>
      <c r="AD260" s="685" t="n"/>
      <c r="AE260" s="686" t="n"/>
      <c r="AF260" s="684" t="n"/>
      <c r="AG260" s="687" t="n"/>
      <c r="AH260" s="687" t="n"/>
      <c r="AI260" s="684" t="n"/>
      <c r="AJ260" s="686" t="n"/>
      <c r="AK260" s="687" t="n"/>
      <c r="AL260" s="687" t="n"/>
      <c r="AM260" s="687" t="n"/>
      <c r="AN260" s="688" t="n"/>
      <c r="AO260" s="686" t="n"/>
      <c r="AP260" s="689" t="n"/>
      <c r="AQ260" s="689" t="n"/>
      <c r="AR260" s="689" t="n"/>
      <c r="AS260" s="690" t="n"/>
      <c r="AT260" s="691">
        <f>IF(AJ260&lt;&gt;"",(IF(AV260="到貨","",(AJ260-TODAY()))),"")</f>
        <v/>
      </c>
      <c r="AU260" s="692">
        <f>IF(AO260&lt;&gt;"",(AO260-AE260),"")</f>
        <v/>
      </c>
      <c r="AV260" s="86">
        <f>IF(AI260&lt;&gt;"",IF(AS260&lt;&gt;"","到貨","5次發包中"),IF(AH260&lt;&gt;"",IF(AR260&lt;&gt;"","到貨","4次發包中"),IF(AG260&lt;&gt;"",IF(AQ260&lt;&gt;"","到貨","3次發包中"),IF(AF260&lt;&gt;"",IF(AP260&lt;&gt;"","到貨","2次發包中"),IF(AE260&lt;&gt;"",IF(AO260&lt;&gt;"","到貨","發包中"),"")))))</f>
        <v/>
      </c>
      <c r="AW260" s="86">
        <f>IF(OR($AW$6=Y260),$AW$6,"")</f>
        <v/>
      </c>
      <c r="AX260" s="87">
        <f t="array" ref="AX260">IF(OR(AV260:AW260={"到貨","庫存"}),"完成","")</f>
        <v/>
      </c>
      <c r="AY260" s="92">
        <f>E260*$M$1</f>
        <v/>
      </c>
    </row>
    <row r="261" outlineLevel="1" ht="14.25" customHeight="1">
      <c r="A261" s="67" t="n">
        <v>256</v>
      </c>
      <c r="B261" s="526" t="n"/>
      <c r="C261" s="393" t="n"/>
      <c r="D261" s="427" t="n"/>
      <c r="E261" s="526" t="n"/>
      <c r="F261" s="526" t="n"/>
      <c r="G261" s="527" t="n"/>
      <c r="H261" s="393" t="n"/>
      <c r="I261" s="528" t="n"/>
      <c r="J261" s="528" t="n"/>
      <c r="K261" s="528" t="n"/>
      <c r="L261" s="529" t="n"/>
      <c r="M261" s="529" t="n"/>
      <c r="N261" s="530" t="n"/>
      <c r="O261" s="531" t="n"/>
      <c r="P261" s="527" t="n"/>
      <c r="Q261" s="528" t="n"/>
      <c r="R261" s="528" t="n"/>
      <c r="S261" s="528" t="n"/>
      <c r="T261" s="543" t="n"/>
      <c r="U261" s="534" t="n"/>
      <c r="V261" s="516" t="n"/>
      <c r="W261" s="535" t="n"/>
      <c r="X261" s="536" t="n"/>
      <c r="Y261" s="519" t="n"/>
      <c r="Z261" s="683" t="n"/>
      <c r="AA261" s="684" t="n"/>
      <c r="AB261" s="684" t="n"/>
      <c r="AC261" s="684" t="n"/>
      <c r="AD261" s="685" t="n"/>
      <c r="AE261" s="686" t="n"/>
      <c r="AF261" s="684" t="n"/>
      <c r="AG261" s="687" t="n"/>
      <c r="AH261" s="687" t="n"/>
      <c r="AI261" s="684" t="n"/>
      <c r="AJ261" s="686" t="n"/>
      <c r="AK261" s="687" t="n"/>
      <c r="AL261" s="687" t="n"/>
      <c r="AM261" s="687" t="n"/>
      <c r="AN261" s="688" t="n"/>
      <c r="AO261" s="686" t="n"/>
      <c r="AP261" s="689" t="n"/>
      <c r="AQ261" s="689" t="n"/>
      <c r="AR261" s="689" t="n"/>
      <c r="AS261" s="690" t="n"/>
      <c r="AT261" s="691">
        <f>IF(AJ261&lt;&gt;"",(IF(AV261="到貨","",(AJ261-TODAY()))),"")</f>
        <v/>
      </c>
      <c r="AU261" s="692">
        <f>IF(AO261&lt;&gt;"",(AO261-AE261),"")</f>
        <v/>
      </c>
      <c r="AV261" s="86">
        <f>IF(AI261&lt;&gt;"",IF(AS261&lt;&gt;"","到貨","5次發包中"),IF(AH261&lt;&gt;"",IF(AR261&lt;&gt;"","到貨","4次發包中"),IF(AG261&lt;&gt;"",IF(AQ261&lt;&gt;"","到貨","3次發包中"),IF(AF261&lt;&gt;"",IF(AP261&lt;&gt;"","到貨","2次發包中"),IF(AE261&lt;&gt;"",IF(AO261&lt;&gt;"","到貨","發包中"),"")))))</f>
        <v/>
      </c>
      <c r="AW261" s="86">
        <f>IF(OR($AW$6=Y261),$AW$6,"")</f>
        <v/>
      </c>
      <c r="AX261" s="87">
        <f t="array" ref="AX261">IF(OR(AV261:AW261={"到貨","庫存"}),"完成","")</f>
        <v/>
      </c>
      <c r="AY261" s="92">
        <f>E261*$M$1</f>
        <v/>
      </c>
    </row>
    <row r="262" outlineLevel="1" ht="14.25" customHeight="1">
      <c r="A262" s="67" t="n">
        <v>257</v>
      </c>
      <c r="B262" s="526" t="n"/>
      <c r="C262" s="393" t="n"/>
      <c r="D262" s="427" t="n"/>
      <c r="E262" s="526" t="n"/>
      <c r="F262" s="526" t="n"/>
      <c r="G262" s="527" t="n"/>
      <c r="H262" s="393" t="n"/>
      <c r="I262" s="528" t="n"/>
      <c r="J262" s="528" t="n"/>
      <c r="K262" s="528" t="n"/>
      <c r="L262" s="529" t="n"/>
      <c r="M262" s="529" t="n"/>
      <c r="N262" s="530" t="n"/>
      <c r="O262" s="531" t="n"/>
      <c r="P262" s="527" t="n"/>
      <c r="Q262" s="528" t="n"/>
      <c r="R262" s="528" t="n"/>
      <c r="S262" s="528" t="n"/>
      <c r="T262" s="543" t="n"/>
      <c r="U262" s="534" t="n"/>
      <c r="V262" s="516" t="n"/>
      <c r="W262" s="535" t="n"/>
      <c r="X262" s="536" t="n"/>
      <c r="Y262" s="519" t="n"/>
      <c r="Z262" s="683" t="n"/>
      <c r="AA262" s="684" t="n"/>
      <c r="AB262" s="684" t="n"/>
      <c r="AC262" s="684" t="n"/>
      <c r="AD262" s="685" t="n"/>
      <c r="AE262" s="686" t="n"/>
      <c r="AF262" s="684" t="n"/>
      <c r="AG262" s="687" t="n"/>
      <c r="AH262" s="687" t="n"/>
      <c r="AI262" s="684" t="n"/>
      <c r="AJ262" s="686" t="n"/>
      <c r="AK262" s="687" t="n"/>
      <c r="AL262" s="687" t="n"/>
      <c r="AM262" s="687" t="n"/>
      <c r="AN262" s="688" t="n"/>
      <c r="AO262" s="686" t="n"/>
      <c r="AP262" s="689" t="n"/>
      <c r="AQ262" s="689" t="n"/>
      <c r="AR262" s="689" t="n"/>
      <c r="AS262" s="690" t="n"/>
      <c r="AT262" s="691">
        <f>IF(AJ262&lt;&gt;"",(IF(AV262="到貨","",(AJ262-TODAY()))),"")</f>
        <v/>
      </c>
      <c r="AU262" s="692">
        <f>IF(AO262&lt;&gt;"",(AO262-AE262),"")</f>
        <v/>
      </c>
      <c r="AV262" s="86">
        <f>IF(AI262&lt;&gt;"",IF(AS262&lt;&gt;"","到貨","5次發包中"),IF(AH262&lt;&gt;"",IF(AR262&lt;&gt;"","到貨","4次發包中"),IF(AG262&lt;&gt;"",IF(AQ262&lt;&gt;"","到貨","3次發包中"),IF(AF262&lt;&gt;"",IF(AP262&lt;&gt;"","到貨","2次發包中"),IF(AE262&lt;&gt;"",IF(AO262&lt;&gt;"","到貨","發包中"),"")))))</f>
        <v/>
      </c>
      <c r="AW262" s="86">
        <f>IF(OR($AW$6=Y262),$AW$6,"")</f>
        <v/>
      </c>
      <c r="AX262" s="87">
        <f t="array" ref="AX262">IF(OR(AV262:AW262={"到貨","庫存"}),"完成","")</f>
        <v/>
      </c>
      <c r="AY262" s="92">
        <f>E262*$M$1</f>
        <v/>
      </c>
    </row>
    <row r="263" outlineLevel="1" ht="14.25" customHeight="1">
      <c r="A263" s="67" t="n">
        <v>258</v>
      </c>
      <c r="B263" s="526" t="n"/>
      <c r="C263" s="393" t="n"/>
      <c r="D263" s="427" t="n"/>
      <c r="E263" s="526" t="n"/>
      <c r="F263" s="526" t="n"/>
      <c r="G263" s="527" t="n"/>
      <c r="H263" s="393" t="n"/>
      <c r="I263" s="528" t="n"/>
      <c r="J263" s="528" t="n"/>
      <c r="K263" s="528" t="n"/>
      <c r="L263" s="529" t="n"/>
      <c r="M263" s="529" t="n"/>
      <c r="N263" s="530" t="n"/>
      <c r="O263" s="531" t="n"/>
      <c r="P263" s="527" t="n"/>
      <c r="Q263" s="528" t="n"/>
      <c r="R263" s="528" t="n"/>
      <c r="S263" s="528" t="n"/>
      <c r="T263" s="543" t="n"/>
      <c r="U263" s="534" t="n"/>
      <c r="V263" s="516" t="n"/>
      <c r="W263" s="535" t="n"/>
      <c r="X263" s="536" t="n"/>
      <c r="Y263" s="519" t="n"/>
      <c r="Z263" s="683" t="n"/>
      <c r="AA263" s="684" t="n"/>
      <c r="AB263" s="684" t="n"/>
      <c r="AC263" s="684" t="n"/>
      <c r="AD263" s="685" t="n"/>
      <c r="AE263" s="686" t="n"/>
      <c r="AF263" s="684" t="n"/>
      <c r="AG263" s="687" t="n"/>
      <c r="AH263" s="687" t="n"/>
      <c r="AI263" s="684" t="n"/>
      <c r="AJ263" s="686" t="n"/>
      <c r="AK263" s="687" t="n"/>
      <c r="AL263" s="687" t="n"/>
      <c r="AM263" s="687" t="n"/>
      <c r="AN263" s="688" t="n"/>
      <c r="AO263" s="686" t="n"/>
      <c r="AP263" s="689" t="n"/>
      <c r="AQ263" s="689" t="n"/>
      <c r="AR263" s="689" t="n"/>
      <c r="AS263" s="690" t="n"/>
      <c r="AT263" s="691">
        <f>IF(AJ263&lt;&gt;"",(IF(AV263="到貨","",(AJ263-TODAY()))),"")</f>
        <v/>
      </c>
      <c r="AU263" s="692">
        <f>IF(AO263&lt;&gt;"",(AO263-AE263),"")</f>
        <v/>
      </c>
      <c r="AV263" s="86">
        <f>IF(AI263&lt;&gt;"",IF(AS263&lt;&gt;"","到貨","5次發包中"),IF(AH263&lt;&gt;"",IF(AR263&lt;&gt;"","到貨","4次發包中"),IF(AG263&lt;&gt;"",IF(AQ263&lt;&gt;"","到貨","3次發包中"),IF(AF263&lt;&gt;"",IF(AP263&lt;&gt;"","到貨","2次發包中"),IF(AE263&lt;&gt;"",IF(AO263&lt;&gt;"","到貨","發包中"),"")))))</f>
        <v/>
      </c>
      <c r="AW263" s="86">
        <f>IF(OR($AW$6=Y263),$AW$6,"")</f>
        <v/>
      </c>
      <c r="AX263" s="87">
        <f t="array" ref="AX263">IF(OR(AV263:AW263={"到貨","庫存"}),"完成","")</f>
        <v/>
      </c>
      <c r="AY263" s="92">
        <f>E263*$M$1</f>
        <v/>
      </c>
    </row>
    <row r="264" outlineLevel="1" ht="14.25" customHeight="1">
      <c r="A264" s="67" t="n">
        <v>259</v>
      </c>
      <c r="B264" s="526" t="n"/>
      <c r="C264" s="393" t="n"/>
      <c r="D264" s="427" t="n"/>
      <c r="E264" s="526" t="n"/>
      <c r="F264" s="526" t="n"/>
      <c r="G264" s="527" t="n"/>
      <c r="H264" s="393" t="n"/>
      <c r="I264" s="528" t="n"/>
      <c r="J264" s="528" t="n"/>
      <c r="K264" s="528" t="n"/>
      <c r="L264" s="529" t="n"/>
      <c r="M264" s="529" t="n"/>
      <c r="N264" s="530" t="n"/>
      <c r="O264" s="531" t="n"/>
      <c r="P264" s="527" t="n"/>
      <c r="Q264" s="528" t="n"/>
      <c r="R264" s="528" t="n"/>
      <c r="S264" s="528" t="n"/>
      <c r="T264" s="543" t="n"/>
      <c r="U264" s="534" t="n"/>
      <c r="V264" s="516" t="n"/>
      <c r="W264" s="535" t="n"/>
      <c r="X264" s="536" t="n"/>
      <c r="Y264" s="519" t="n"/>
      <c r="Z264" s="683" t="n"/>
      <c r="AA264" s="684" t="n"/>
      <c r="AB264" s="684" t="n"/>
      <c r="AC264" s="684" t="n"/>
      <c r="AD264" s="685" t="n"/>
      <c r="AE264" s="686" t="n"/>
      <c r="AF264" s="684" t="n"/>
      <c r="AG264" s="687" t="n"/>
      <c r="AH264" s="687" t="n"/>
      <c r="AI264" s="684" t="n"/>
      <c r="AJ264" s="686" t="n"/>
      <c r="AK264" s="687" t="n"/>
      <c r="AL264" s="687" t="n"/>
      <c r="AM264" s="687" t="n"/>
      <c r="AN264" s="688" t="n"/>
      <c r="AO264" s="686" t="n"/>
      <c r="AP264" s="689" t="n"/>
      <c r="AQ264" s="689" t="n"/>
      <c r="AR264" s="689" t="n"/>
      <c r="AS264" s="690" t="n"/>
      <c r="AT264" s="691">
        <f>IF(AJ264&lt;&gt;"",(IF(AV264="到貨","",(AJ264-TODAY()))),"")</f>
        <v/>
      </c>
      <c r="AU264" s="692">
        <f>IF(AO264&lt;&gt;"",(AO264-AE264),"")</f>
        <v/>
      </c>
      <c r="AV264" s="86">
        <f>IF(AI264&lt;&gt;"",IF(AS264&lt;&gt;"","到貨","5次發包中"),IF(AH264&lt;&gt;"",IF(AR264&lt;&gt;"","到貨","4次發包中"),IF(AG264&lt;&gt;"",IF(AQ264&lt;&gt;"","到貨","3次發包中"),IF(AF264&lt;&gt;"",IF(AP264&lt;&gt;"","到貨","2次發包中"),IF(AE264&lt;&gt;"",IF(AO264&lt;&gt;"","到貨","發包中"),"")))))</f>
        <v/>
      </c>
      <c r="AW264" s="86">
        <f>IF(OR($AW$6=Y264),$AW$6,"")</f>
        <v/>
      </c>
      <c r="AX264" s="87">
        <f t="array" ref="AX264">IF(OR(AV264:AW264={"到貨","庫存"}),"完成","")</f>
        <v/>
      </c>
      <c r="AY264" s="92">
        <f>E264*$M$1</f>
        <v/>
      </c>
    </row>
    <row r="265" outlineLevel="1" ht="14.25" customHeight="1">
      <c r="A265" s="67" t="n">
        <v>260</v>
      </c>
      <c r="B265" s="526" t="n"/>
      <c r="C265" s="393" t="n"/>
      <c r="D265" s="427" t="n"/>
      <c r="E265" s="526" t="n"/>
      <c r="F265" s="526" t="n"/>
      <c r="G265" s="527" t="n"/>
      <c r="H265" s="393" t="n"/>
      <c r="I265" s="528" t="n"/>
      <c r="J265" s="528" t="n"/>
      <c r="K265" s="528" t="n"/>
      <c r="L265" s="529" t="n"/>
      <c r="M265" s="529" t="n"/>
      <c r="N265" s="530" t="n"/>
      <c r="O265" s="531" t="n"/>
      <c r="P265" s="527" t="n"/>
      <c r="Q265" s="528" t="n"/>
      <c r="R265" s="528" t="n"/>
      <c r="S265" s="528" t="n"/>
      <c r="T265" s="543" t="n"/>
      <c r="U265" s="534" t="n"/>
      <c r="V265" s="516" t="n"/>
      <c r="W265" s="535" t="n"/>
      <c r="X265" s="536" t="n"/>
      <c r="Y265" s="519" t="n"/>
      <c r="Z265" s="683" t="n"/>
      <c r="AA265" s="684" t="n"/>
      <c r="AB265" s="684" t="n"/>
      <c r="AC265" s="684" t="n"/>
      <c r="AD265" s="685" t="n"/>
      <c r="AE265" s="686" t="n"/>
      <c r="AF265" s="684" t="n"/>
      <c r="AG265" s="687" t="n"/>
      <c r="AH265" s="687" t="n"/>
      <c r="AI265" s="684" t="n"/>
      <c r="AJ265" s="686" t="n"/>
      <c r="AK265" s="687" t="n"/>
      <c r="AL265" s="687" t="n"/>
      <c r="AM265" s="687" t="n"/>
      <c r="AN265" s="688" t="n"/>
      <c r="AO265" s="686" t="n"/>
      <c r="AP265" s="689" t="n"/>
      <c r="AQ265" s="689" t="n"/>
      <c r="AR265" s="689" t="n"/>
      <c r="AS265" s="690" t="n"/>
      <c r="AT265" s="691">
        <f>IF(AJ265&lt;&gt;"",(IF(AV265="到貨","",(AJ265-TODAY()))),"")</f>
        <v/>
      </c>
      <c r="AU265" s="692">
        <f>IF(AO265&lt;&gt;"",(AO265-AE265),"")</f>
        <v/>
      </c>
      <c r="AV265" s="86">
        <f>IF(AI265&lt;&gt;"",IF(AS265&lt;&gt;"","到貨","5次發包中"),IF(AH265&lt;&gt;"",IF(AR265&lt;&gt;"","到貨","4次發包中"),IF(AG265&lt;&gt;"",IF(AQ265&lt;&gt;"","到貨","3次發包中"),IF(AF265&lt;&gt;"",IF(AP265&lt;&gt;"","到貨","2次發包中"),IF(AE265&lt;&gt;"",IF(AO265&lt;&gt;"","到貨","發包中"),"")))))</f>
        <v/>
      </c>
      <c r="AW265" s="86">
        <f>IF(OR($AW$6=Y265),$AW$6,"")</f>
        <v/>
      </c>
      <c r="AX265" s="87">
        <f t="array" ref="AX265">IF(OR(AV265:AW265={"到貨","庫存"}),"完成","")</f>
        <v/>
      </c>
      <c r="AY265" s="92">
        <f>E265*$M$1</f>
        <v/>
      </c>
    </row>
    <row r="266" outlineLevel="1" ht="14.25" customHeight="1">
      <c r="A266" s="67" t="n">
        <v>261</v>
      </c>
      <c r="B266" s="526" t="n"/>
      <c r="C266" s="393" t="n"/>
      <c r="D266" s="427" t="n"/>
      <c r="E266" s="526" t="n"/>
      <c r="F266" s="526" t="n"/>
      <c r="G266" s="527" t="n"/>
      <c r="H266" s="393" t="n"/>
      <c r="I266" s="528" t="n"/>
      <c r="J266" s="528" t="n"/>
      <c r="K266" s="528" t="n"/>
      <c r="L266" s="529" t="n"/>
      <c r="M266" s="529" t="n"/>
      <c r="N266" s="530" t="n"/>
      <c r="O266" s="531" t="n"/>
      <c r="P266" s="527" t="n"/>
      <c r="Q266" s="528" t="n"/>
      <c r="R266" s="528" t="n"/>
      <c r="S266" s="528" t="n"/>
      <c r="T266" s="543" t="n"/>
      <c r="U266" s="534" t="n"/>
      <c r="V266" s="516" t="n"/>
      <c r="W266" s="535" t="n"/>
      <c r="X266" s="536" t="n"/>
      <c r="Y266" s="519" t="n"/>
      <c r="Z266" s="683" t="n"/>
      <c r="AA266" s="684" t="n"/>
      <c r="AB266" s="684" t="n"/>
      <c r="AC266" s="684" t="n"/>
      <c r="AD266" s="685" t="n"/>
      <c r="AE266" s="686" t="n"/>
      <c r="AF266" s="684" t="n"/>
      <c r="AG266" s="687" t="n"/>
      <c r="AH266" s="687" t="n"/>
      <c r="AI266" s="684" t="n"/>
      <c r="AJ266" s="686" t="n"/>
      <c r="AK266" s="687" t="n"/>
      <c r="AL266" s="687" t="n"/>
      <c r="AM266" s="687" t="n"/>
      <c r="AN266" s="688" t="n"/>
      <c r="AO266" s="686" t="n"/>
      <c r="AP266" s="689" t="n"/>
      <c r="AQ266" s="689" t="n"/>
      <c r="AR266" s="689" t="n"/>
      <c r="AS266" s="690" t="n"/>
      <c r="AT266" s="691">
        <f>IF(AJ266&lt;&gt;"",(IF(AV266="到貨","",(AJ266-TODAY()))),"")</f>
        <v/>
      </c>
      <c r="AU266" s="692">
        <f>IF(AO266&lt;&gt;"",(AO266-AE266),"")</f>
        <v/>
      </c>
      <c r="AV266" s="86">
        <f>IF(AI266&lt;&gt;"",IF(AS266&lt;&gt;"","到貨","5次發包中"),IF(AH266&lt;&gt;"",IF(AR266&lt;&gt;"","到貨","4次發包中"),IF(AG266&lt;&gt;"",IF(AQ266&lt;&gt;"","到貨","3次發包中"),IF(AF266&lt;&gt;"",IF(AP266&lt;&gt;"","到貨","2次發包中"),IF(AE266&lt;&gt;"",IF(AO266&lt;&gt;"","到貨","發包中"),"")))))</f>
        <v/>
      </c>
      <c r="AW266" s="86">
        <f>IF(OR($AW$6=Y266),$AW$6,"")</f>
        <v/>
      </c>
      <c r="AX266" s="87">
        <f t="array" ref="AX266">IF(OR(AV266:AW266={"到貨","庫存"}),"完成","")</f>
        <v/>
      </c>
      <c r="AY266" s="92">
        <f>E266*$M$1</f>
        <v/>
      </c>
    </row>
    <row r="267" outlineLevel="1" ht="14.25" customHeight="1">
      <c r="A267" s="67" t="n">
        <v>262</v>
      </c>
      <c r="B267" s="526" t="n"/>
      <c r="C267" s="393" t="n"/>
      <c r="D267" s="427" t="n"/>
      <c r="E267" s="526" t="n"/>
      <c r="F267" s="526" t="n"/>
      <c r="G267" s="527" t="n"/>
      <c r="H267" s="393" t="n"/>
      <c r="I267" s="528" t="n"/>
      <c r="J267" s="528" t="n"/>
      <c r="K267" s="528" t="n"/>
      <c r="L267" s="529" t="n"/>
      <c r="M267" s="529" t="n"/>
      <c r="N267" s="530" t="n"/>
      <c r="O267" s="531" t="n"/>
      <c r="P267" s="527" t="n"/>
      <c r="Q267" s="528" t="n"/>
      <c r="R267" s="528" t="n"/>
      <c r="S267" s="528" t="n"/>
      <c r="T267" s="543" t="n"/>
      <c r="U267" s="534" t="n"/>
      <c r="V267" s="516" t="n"/>
      <c r="W267" s="535" t="n"/>
      <c r="X267" s="536" t="n"/>
      <c r="Y267" s="519" t="n"/>
      <c r="Z267" s="683" t="n"/>
      <c r="AA267" s="684" t="n"/>
      <c r="AB267" s="684" t="n"/>
      <c r="AC267" s="684" t="n"/>
      <c r="AD267" s="685" t="n"/>
      <c r="AE267" s="686" t="n"/>
      <c r="AF267" s="684" t="n"/>
      <c r="AG267" s="687" t="n"/>
      <c r="AH267" s="687" t="n"/>
      <c r="AI267" s="684" t="n"/>
      <c r="AJ267" s="686" t="n"/>
      <c r="AK267" s="687" t="n"/>
      <c r="AL267" s="687" t="n"/>
      <c r="AM267" s="687" t="n"/>
      <c r="AN267" s="688" t="n"/>
      <c r="AO267" s="686" t="n"/>
      <c r="AP267" s="689" t="n"/>
      <c r="AQ267" s="689" t="n"/>
      <c r="AR267" s="689" t="n"/>
      <c r="AS267" s="690" t="n"/>
      <c r="AT267" s="691">
        <f>IF(AJ267&lt;&gt;"",(IF(AV267="到貨","",(AJ267-TODAY()))),"")</f>
        <v/>
      </c>
      <c r="AU267" s="692">
        <f>IF(AO267&lt;&gt;"",(AO267-AE267),"")</f>
        <v/>
      </c>
      <c r="AV267" s="86">
        <f>IF(AI267&lt;&gt;"",IF(AS267&lt;&gt;"","到貨","5次發包中"),IF(AH267&lt;&gt;"",IF(AR267&lt;&gt;"","到貨","4次發包中"),IF(AG267&lt;&gt;"",IF(AQ267&lt;&gt;"","到貨","3次發包中"),IF(AF267&lt;&gt;"",IF(AP267&lt;&gt;"","到貨","2次發包中"),IF(AE267&lt;&gt;"",IF(AO267&lt;&gt;"","到貨","發包中"),"")))))</f>
        <v/>
      </c>
      <c r="AW267" s="86">
        <f>IF(OR($AW$6=Y267),$AW$6,"")</f>
        <v/>
      </c>
      <c r="AX267" s="87">
        <f t="array" ref="AX267">IF(OR(AV267:AW267={"到貨","庫存"}),"完成","")</f>
        <v/>
      </c>
      <c r="AY267" s="92">
        <f>E267*$M$1</f>
        <v/>
      </c>
    </row>
    <row r="268" outlineLevel="1" ht="14.25" customHeight="1">
      <c r="A268" s="67" t="n">
        <v>263</v>
      </c>
      <c r="B268" s="526" t="n"/>
      <c r="C268" s="393" t="n"/>
      <c r="D268" s="427" t="n"/>
      <c r="E268" s="526" t="n"/>
      <c r="F268" s="526" t="n"/>
      <c r="G268" s="527" t="n"/>
      <c r="H268" s="393" t="n"/>
      <c r="I268" s="528" t="n"/>
      <c r="J268" s="528" t="n"/>
      <c r="K268" s="528" t="n"/>
      <c r="L268" s="529" t="n"/>
      <c r="M268" s="529" t="n"/>
      <c r="N268" s="530" t="n"/>
      <c r="O268" s="531" t="n"/>
      <c r="P268" s="527" t="n"/>
      <c r="Q268" s="528" t="n"/>
      <c r="R268" s="528" t="n"/>
      <c r="S268" s="528" t="n"/>
      <c r="T268" s="543" t="n"/>
      <c r="U268" s="534" t="n"/>
      <c r="V268" s="516" t="n"/>
      <c r="W268" s="535" t="n"/>
      <c r="X268" s="536" t="n"/>
      <c r="Y268" s="519" t="n"/>
      <c r="Z268" s="683" t="n"/>
      <c r="AA268" s="684" t="n"/>
      <c r="AB268" s="684" t="n"/>
      <c r="AC268" s="684" t="n"/>
      <c r="AD268" s="685" t="n"/>
      <c r="AE268" s="686" t="n"/>
      <c r="AF268" s="684" t="n"/>
      <c r="AG268" s="687" t="n"/>
      <c r="AH268" s="687" t="n"/>
      <c r="AI268" s="684" t="n"/>
      <c r="AJ268" s="686" t="n"/>
      <c r="AK268" s="687" t="n"/>
      <c r="AL268" s="687" t="n"/>
      <c r="AM268" s="687" t="n"/>
      <c r="AN268" s="688" t="n"/>
      <c r="AO268" s="686" t="n"/>
      <c r="AP268" s="689" t="n"/>
      <c r="AQ268" s="689" t="n"/>
      <c r="AR268" s="689" t="n"/>
      <c r="AS268" s="690" t="n"/>
      <c r="AT268" s="691">
        <f>IF(AJ268&lt;&gt;"",(IF(AV268="到貨","",(AJ268-TODAY()))),"")</f>
        <v/>
      </c>
      <c r="AU268" s="692">
        <f>IF(AO268&lt;&gt;"",(AO268-AE268),"")</f>
        <v/>
      </c>
      <c r="AV268" s="86">
        <f>IF(AI268&lt;&gt;"",IF(AS268&lt;&gt;"","到貨","5次發包中"),IF(AH268&lt;&gt;"",IF(AR268&lt;&gt;"","到貨","4次發包中"),IF(AG268&lt;&gt;"",IF(AQ268&lt;&gt;"","到貨","3次發包中"),IF(AF268&lt;&gt;"",IF(AP268&lt;&gt;"","到貨","2次發包中"),IF(AE268&lt;&gt;"",IF(AO268&lt;&gt;"","到貨","發包中"),"")))))</f>
        <v/>
      </c>
      <c r="AW268" s="86">
        <f>IF(OR($AW$6=Y268),$AW$6,"")</f>
        <v/>
      </c>
      <c r="AX268" s="87">
        <f t="array" ref="AX268">IF(OR(AV268:AW268={"到貨","庫存"}),"完成","")</f>
        <v/>
      </c>
      <c r="AY268" s="92">
        <f>E268*$M$1</f>
        <v/>
      </c>
    </row>
    <row r="269" outlineLevel="1" ht="14.25" customHeight="1">
      <c r="A269" s="67" t="n">
        <v>264</v>
      </c>
      <c r="B269" s="526" t="n"/>
      <c r="C269" s="393" t="n"/>
      <c r="D269" s="427" t="n"/>
      <c r="E269" s="526" t="n"/>
      <c r="F269" s="526" t="n"/>
      <c r="G269" s="527" t="n"/>
      <c r="H269" s="393" t="n"/>
      <c r="I269" s="528" t="n"/>
      <c r="J269" s="528" t="n"/>
      <c r="K269" s="528" t="n"/>
      <c r="L269" s="529" t="n"/>
      <c r="M269" s="529" t="n"/>
      <c r="N269" s="530" t="n"/>
      <c r="O269" s="531" t="n"/>
      <c r="P269" s="527" t="n"/>
      <c r="Q269" s="528" t="n"/>
      <c r="R269" s="528" t="n"/>
      <c r="S269" s="528" t="n"/>
      <c r="T269" s="543" t="n"/>
      <c r="U269" s="534" t="n"/>
      <c r="V269" s="516" t="n"/>
      <c r="W269" s="535" t="n"/>
      <c r="X269" s="536" t="n"/>
      <c r="Y269" s="519" t="n"/>
      <c r="Z269" s="683" t="n"/>
      <c r="AA269" s="684" t="n"/>
      <c r="AB269" s="684" t="n"/>
      <c r="AC269" s="684" t="n"/>
      <c r="AD269" s="685" t="n"/>
      <c r="AE269" s="686" t="n"/>
      <c r="AF269" s="684" t="n"/>
      <c r="AG269" s="687" t="n"/>
      <c r="AH269" s="687" t="n"/>
      <c r="AI269" s="684" t="n"/>
      <c r="AJ269" s="686" t="n"/>
      <c r="AK269" s="687" t="n"/>
      <c r="AL269" s="687" t="n"/>
      <c r="AM269" s="687" t="n"/>
      <c r="AN269" s="688" t="n"/>
      <c r="AO269" s="686" t="n"/>
      <c r="AP269" s="689" t="n"/>
      <c r="AQ269" s="689" t="n"/>
      <c r="AR269" s="689" t="n"/>
      <c r="AS269" s="690" t="n"/>
      <c r="AT269" s="691">
        <f>IF(AJ269&lt;&gt;"",(IF(AV269="到貨","",(AJ269-TODAY()))),"")</f>
        <v/>
      </c>
      <c r="AU269" s="692">
        <f>IF(AO269&lt;&gt;"",(AO269-AE269),"")</f>
        <v/>
      </c>
      <c r="AV269" s="86">
        <f>IF(AI269&lt;&gt;"",IF(AS269&lt;&gt;"","到貨","5次發包中"),IF(AH269&lt;&gt;"",IF(AR269&lt;&gt;"","到貨","4次發包中"),IF(AG269&lt;&gt;"",IF(AQ269&lt;&gt;"","到貨","3次發包中"),IF(AF269&lt;&gt;"",IF(AP269&lt;&gt;"","到貨","2次發包中"),IF(AE269&lt;&gt;"",IF(AO269&lt;&gt;"","到貨","發包中"),"")))))</f>
        <v/>
      </c>
      <c r="AW269" s="86">
        <f>IF(OR($AW$6=Y269),$AW$6,"")</f>
        <v/>
      </c>
      <c r="AX269" s="87">
        <f t="array" ref="AX269">IF(OR(AV269:AW269={"到貨","庫存"}),"完成","")</f>
        <v/>
      </c>
      <c r="AY269" s="92">
        <f>E269*$M$1</f>
        <v/>
      </c>
    </row>
    <row r="270" outlineLevel="1" ht="14.25" customHeight="1">
      <c r="A270" s="67" t="n">
        <v>265</v>
      </c>
      <c r="B270" s="526" t="n"/>
      <c r="C270" s="393" t="n"/>
      <c r="D270" s="427" t="n"/>
      <c r="E270" s="526" t="n"/>
      <c r="F270" s="526" t="n"/>
      <c r="G270" s="527" t="n"/>
      <c r="H270" s="393" t="n"/>
      <c r="I270" s="528" t="n"/>
      <c r="J270" s="528" t="n"/>
      <c r="K270" s="528" t="n"/>
      <c r="L270" s="529" t="n"/>
      <c r="M270" s="529" t="n"/>
      <c r="N270" s="530" t="n"/>
      <c r="O270" s="531" t="n"/>
      <c r="P270" s="527" t="n"/>
      <c r="Q270" s="528" t="n"/>
      <c r="R270" s="528" t="n"/>
      <c r="S270" s="528" t="n"/>
      <c r="T270" s="543" t="n"/>
      <c r="U270" s="534" t="n"/>
      <c r="V270" s="516" t="n"/>
      <c r="W270" s="535" t="n"/>
      <c r="X270" s="536" t="n"/>
      <c r="Y270" s="519" t="n"/>
      <c r="Z270" s="683" t="n"/>
      <c r="AA270" s="684" t="n"/>
      <c r="AB270" s="684" t="n"/>
      <c r="AC270" s="684" t="n"/>
      <c r="AD270" s="685" t="n"/>
      <c r="AE270" s="686" t="n"/>
      <c r="AF270" s="684" t="n"/>
      <c r="AG270" s="687" t="n"/>
      <c r="AH270" s="687" t="n"/>
      <c r="AI270" s="684" t="n"/>
      <c r="AJ270" s="686" t="n"/>
      <c r="AK270" s="687" t="n"/>
      <c r="AL270" s="687" t="n"/>
      <c r="AM270" s="687" t="n"/>
      <c r="AN270" s="688" t="n"/>
      <c r="AO270" s="686" t="n"/>
      <c r="AP270" s="689" t="n"/>
      <c r="AQ270" s="689" t="n"/>
      <c r="AR270" s="689" t="n"/>
      <c r="AS270" s="690" t="n"/>
      <c r="AT270" s="691">
        <f>IF(AJ270&lt;&gt;"",(IF(AV270="到貨","",(AJ270-TODAY()))),"")</f>
        <v/>
      </c>
      <c r="AU270" s="692">
        <f>IF(AO270&lt;&gt;"",(AO270-AE270),"")</f>
        <v/>
      </c>
      <c r="AV270" s="86">
        <f>IF(AI270&lt;&gt;"",IF(AS270&lt;&gt;"","到貨","5次發包中"),IF(AH270&lt;&gt;"",IF(AR270&lt;&gt;"","到貨","4次發包中"),IF(AG270&lt;&gt;"",IF(AQ270&lt;&gt;"","到貨","3次發包中"),IF(AF270&lt;&gt;"",IF(AP270&lt;&gt;"","到貨","2次發包中"),IF(AE270&lt;&gt;"",IF(AO270&lt;&gt;"","到貨","發包中"),"")))))</f>
        <v/>
      </c>
      <c r="AW270" s="86">
        <f>IF(OR($AW$6=Y270),$AW$6,"")</f>
        <v/>
      </c>
      <c r="AX270" s="87">
        <f t="array" ref="AX270">IF(OR(AV270:AW270={"到貨","庫存"}),"完成","")</f>
        <v/>
      </c>
      <c r="AY270" s="92">
        <f>E270*$M$1</f>
        <v/>
      </c>
    </row>
    <row r="271" outlineLevel="1" ht="14.25" customHeight="1">
      <c r="A271" s="67" t="n">
        <v>266</v>
      </c>
      <c r="B271" s="526" t="n"/>
      <c r="C271" s="393" t="n"/>
      <c r="D271" s="427" t="n"/>
      <c r="E271" s="526" t="n"/>
      <c r="F271" s="526" t="n"/>
      <c r="G271" s="527" t="n"/>
      <c r="H271" s="393" t="n"/>
      <c r="I271" s="528" t="n"/>
      <c r="J271" s="528" t="n"/>
      <c r="K271" s="528" t="n"/>
      <c r="L271" s="529" t="n"/>
      <c r="M271" s="529" t="n"/>
      <c r="N271" s="530" t="n"/>
      <c r="O271" s="531" t="n"/>
      <c r="P271" s="527" t="n"/>
      <c r="Q271" s="528" t="n"/>
      <c r="R271" s="528" t="n"/>
      <c r="S271" s="528" t="n"/>
      <c r="T271" s="543" t="n"/>
      <c r="U271" s="534" t="n"/>
      <c r="V271" s="516" t="n"/>
      <c r="W271" s="535" t="n"/>
      <c r="X271" s="536" t="n"/>
      <c r="Y271" s="519" t="n"/>
      <c r="Z271" s="683" t="n"/>
      <c r="AA271" s="684" t="n"/>
      <c r="AB271" s="684" t="n"/>
      <c r="AC271" s="684" t="n"/>
      <c r="AD271" s="685" t="n"/>
      <c r="AE271" s="686" t="n"/>
      <c r="AF271" s="684" t="n"/>
      <c r="AG271" s="687" t="n"/>
      <c r="AH271" s="687" t="n"/>
      <c r="AI271" s="684" t="n"/>
      <c r="AJ271" s="686" t="n"/>
      <c r="AK271" s="687" t="n"/>
      <c r="AL271" s="687" t="n"/>
      <c r="AM271" s="687" t="n"/>
      <c r="AN271" s="688" t="n"/>
      <c r="AO271" s="686" t="n"/>
      <c r="AP271" s="689" t="n"/>
      <c r="AQ271" s="689" t="n"/>
      <c r="AR271" s="689" t="n"/>
      <c r="AS271" s="690" t="n"/>
      <c r="AT271" s="691">
        <f>IF(AJ271&lt;&gt;"",(IF(AV271="到貨","",(AJ271-TODAY()))),"")</f>
        <v/>
      </c>
      <c r="AU271" s="692">
        <f>IF(AO271&lt;&gt;"",(AO271-AE271),"")</f>
        <v/>
      </c>
      <c r="AV271" s="86">
        <f>IF(AI271&lt;&gt;"",IF(AS271&lt;&gt;"","到貨","5次發包中"),IF(AH271&lt;&gt;"",IF(AR271&lt;&gt;"","到貨","4次發包中"),IF(AG271&lt;&gt;"",IF(AQ271&lt;&gt;"","到貨","3次發包中"),IF(AF271&lt;&gt;"",IF(AP271&lt;&gt;"","到貨","2次發包中"),IF(AE271&lt;&gt;"",IF(AO271&lt;&gt;"","到貨","發包中"),"")))))</f>
        <v/>
      </c>
      <c r="AW271" s="86">
        <f>IF(OR($AW$6=Y271),$AW$6,"")</f>
        <v/>
      </c>
      <c r="AX271" s="87">
        <f t="array" ref="AX271">IF(OR(AV271:AW271={"到貨","庫存"}),"完成","")</f>
        <v/>
      </c>
      <c r="AY271" s="92">
        <f>E271*$M$1</f>
        <v/>
      </c>
    </row>
    <row r="272" outlineLevel="1" ht="14.25" customHeight="1">
      <c r="A272" s="67" t="n">
        <v>267</v>
      </c>
      <c r="B272" s="526" t="n"/>
      <c r="C272" s="393" t="n"/>
      <c r="D272" s="427" t="n"/>
      <c r="E272" s="526" t="n"/>
      <c r="F272" s="526" t="n"/>
      <c r="G272" s="527" t="n"/>
      <c r="H272" s="393" t="n"/>
      <c r="I272" s="528" t="n"/>
      <c r="J272" s="528" t="n"/>
      <c r="K272" s="528" t="n"/>
      <c r="L272" s="529" t="n"/>
      <c r="M272" s="529" t="n"/>
      <c r="N272" s="530" t="n"/>
      <c r="O272" s="531" t="n"/>
      <c r="P272" s="527" t="n"/>
      <c r="Q272" s="528" t="n"/>
      <c r="R272" s="528" t="n"/>
      <c r="S272" s="528" t="n"/>
      <c r="T272" s="543" t="n"/>
      <c r="U272" s="534" t="n"/>
      <c r="V272" s="516" t="n"/>
      <c r="W272" s="535" t="n"/>
      <c r="X272" s="536" t="n"/>
      <c r="Y272" s="519" t="n"/>
      <c r="Z272" s="683" t="n"/>
      <c r="AA272" s="684" t="n"/>
      <c r="AB272" s="684" t="n"/>
      <c r="AC272" s="684" t="n"/>
      <c r="AD272" s="685" t="n"/>
      <c r="AE272" s="686" t="n"/>
      <c r="AF272" s="684" t="n"/>
      <c r="AG272" s="687" t="n"/>
      <c r="AH272" s="687" t="n"/>
      <c r="AI272" s="684" t="n"/>
      <c r="AJ272" s="686" t="n"/>
      <c r="AK272" s="687" t="n"/>
      <c r="AL272" s="687" t="n"/>
      <c r="AM272" s="687" t="n"/>
      <c r="AN272" s="688" t="n"/>
      <c r="AO272" s="686" t="n"/>
      <c r="AP272" s="689" t="n"/>
      <c r="AQ272" s="689" t="n"/>
      <c r="AR272" s="689" t="n"/>
      <c r="AS272" s="690" t="n"/>
      <c r="AT272" s="691">
        <f>IF(AJ272&lt;&gt;"",(IF(AV272="到貨","",(AJ272-TODAY()))),"")</f>
        <v/>
      </c>
      <c r="AU272" s="692">
        <f>IF(AO272&lt;&gt;"",(AO272-AE272),"")</f>
        <v/>
      </c>
      <c r="AV272" s="86">
        <f>IF(AI272&lt;&gt;"",IF(AS272&lt;&gt;"","到貨","5次發包中"),IF(AH272&lt;&gt;"",IF(AR272&lt;&gt;"","到貨","4次發包中"),IF(AG272&lt;&gt;"",IF(AQ272&lt;&gt;"","到貨","3次發包中"),IF(AF272&lt;&gt;"",IF(AP272&lt;&gt;"","到貨","2次發包中"),IF(AE272&lt;&gt;"",IF(AO272&lt;&gt;"","到貨","發包中"),"")))))</f>
        <v/>
      </c>
      <c r="AW272" s="86">
        <f>IF(OR($AW$6=Y272),$AW$6,"")</f>
        <v/>
      </c>
      <c r="AX272" s="87">
        <f t="array" ref="AX272">IF(OR(AV272:AW272={"到貨","庫存"}),"完成","")</f>
        <v/>
      </c>
      <c r="AY272" s="92">
        <f>E272*$M$1</f>
        <v/>
      </c>
    </row>
    <row r="273" outlineLevel="1" ht="14.25" customHeight="1">
      <c r="A273" s="67" t="n">
        <v>268</v>
      </c>
      <c r="B273" s="526" t="n"/>
      <c r="C273" s="393" t="n"/>
      <c r="D273" s="427" t="n"/>
      <c r="E273" s="526" t="n"/>
      <c r="F273" s="526" t="n"/>
      <c r="G273" s="527" t="n"/>
      <c r="H273" s="393" t="n"/>
      <c r="I273" s="528" t="n"/>
      <c r="J273" s="528" t="n"/>
      <c r="K273" s="528" t="n"/>
      <c r="L273" s="529" t="n"/>
      <c r="M273" s="529" t="n"/>
      <c r="N273" s="530" t="n"/>
      <c r="O273" s="531" t="n"/>
      <c r="P273" s="527" t="n"/>
      <c r="Q273" s="528" t="n"/>
      <c r="R273" s="528" t="n"/>
      <c r="S273" s="528" t="n"/>
      <c r="T273" s="543" t="n"/>
      <c r="U273" s="534" t="n"/>
      <c r="V273" s="516" t="n"/>
      <c r="W273" s="535" t="n"/>
      <c r="X273" s="536" t="n"/>
      <c r="Y273" s="519" t="n"/>
      <c r="Z273" s="683" t="n"/>
      <c r="AA273" s="684" t="n"/>
      <c r="AB273" s="684" t="n"/>
      <c r="AC273" s="684" t="n"/>
      <c r="AD273" s="685" t="n"/>
      <c r="AE273" s="686" t="n"/>
      <c r="AF273" s="684" t="n"/>
      <c r="AG273" s="687" t="n"/>
      <c r="AH273" s="687" t="n"/>
      <c r="AI273" s="684" t="n"/>
      <c r="AJ273" s="686" t="n"/>
      <c r="AK273" s="687" t="n"/>
      <c r="AL273" s="687" t="n"/>
      <c r="AM273" s="687" t="n"/>
      <c r="AN273" s="688" t="n"/>
      <c r="AO273" s="686" t="n"/>
      <c r="AP273" s="689" t="n"/>
      <c r="AQ273" s="689" t="n"/>
      <c r="AR273" s="689" t="n"/>
      <c r="AS273" s="690" t="n"/>
      <c r="AT273" s="691">
        <f>IF(AJ273&lt;&gt;"",(IF(AV273="到貨","",(AJ273-TODAY()))),"")</f>
        <v/>
      </c>
      <c r="AU273" s="692">
        <f>IF(AO273&lt;&gt;"",(AO273-AE273),"")</f>
        <v/>
      </c>
      <c r="AV273" s="86">
        <f>IF(AI273&lt;&gt;"",IF(AS273&lt;&gt;"","到貨","5次發包中"),IF(AH273&lt;&gt;"",IF(AR273&lt;&gt;"","到貨","4次發包中"),IF(AG273&lt;&gt;"",IF(AQ273&lt;&gt;"","到貨","3次發包中"),IF(AF273&lt;&gt;"",IF(AP273&lt;&gt;"","到貨","2次發包中"),IF(AE273&lt;&gt;"",IF(AO273&lt;&gt;"","到貨","發包中"),"")))))</f>
        <v/>
      </c>
      <c r="AW273" s="86">
        <f>IF(OR($AW$6=Y273),$AW$6,"")</f>
        <v/>
      </c>
      <c r="AX273" s="87">
        <f t="array" ref="AX273">IF(OR(AV273:AW273={"到貨","庫存"}),"完成","")</f>
        <v/>
      </c>
      <c r="AY273" s="92">
        <f>E273*$M$1</f>
        <v/>
      </c>
    </row>
    <row r="274" outlineLevel="1" ht="14.25" customHeight="1">
      <c r="A274" s="67" t="n">
        <v>269</v>
      </c>
      <c r="B274" s="526" t="n"/>
      <c r="C274" s="393" t="n"/>
      <c r="D274" s="427" t="n"/>
      <c r="E274" s="526" t="n"/>
      <c r="F274" s="526" t="n"/>
      <c r="G274" s="527" t="n"/>
      <c r="H274" s="393" t="n"/>
      <c r="I274" s="528" t="n"/>
      <c r="J274" s="528" t="n"/>
      <c r="K274" s="528" t="n"/>
      <c r="L274" s="529" t="n"/>
      <c r="M274" s="529" t="n"/>
      <c r="N274" s="530" t="n"/>
      <c r="O274" s="531" t="n"/>
      <c r="P274" s="527" t="n"/>
      <c r="Q274" s="528" t="n"/>
      <c r="R274" s="528" t="n"/>
      <c r="S274" s="528" t="n"/>
      <c r="T274" s="543" t="n"/>
      <c r="U274" s="534" t="n"/>
      <c r="V274" s="516" t="n"/>
      <c r="W274" s="535" t="n"/>
      <c r="X274" s="536" t="n"/>
      <c r="Y274" s="519" t="n"/>
      <c r="Z274" s="683" t="n"/>
      <c r="AA274" s="684" t="n"/>
      <c r="AB274" s="684" t="n"/>
      <c r="AC274" s="684" t="n"/>
      <c r="AD274" s="685" t="n"/>
      <c r="AE274" s="686" t="n"/>
      <c r="AF274" s="684" t="n"/>
      <c r="AG274" s="687" t="n"/>
      <c r="AH274" s="687" t="n"/>
      <c r="AI274" s="684" t="n"/>
      <c r="AJ274" s="686" t="n"/>
      <c r="AK274" s="687" t="n"/>
      <c r="AL274" s="687" t="n"/>
      <c r="AM274" s="687" t="n"/>
      <c r="AN274" s="688" t="n"/>
      <c r="AO274" s="686" t="n"/>
      <c r="AP274" s="689" t="n"/>
      <c r="AQ274" s="689" t="n"/>
      <c r="AR274" s="689" t="n"/>
      <c r="AS274" s="690" t="n"/>
      <c r="AT274" s="691">
        <f>IF(AJ274&lt;&gt;"",(IF(AV274="到貨","",(AJ274-TODAY()))),"")</f>
        <v/>
      </c>
      <c r="AU274" s="692">
        <f>IF(AO274&lt;&gt;"",(AO274-AE274),"")</f>
        <v/>
      </c>
      <c r="AV274" s="86">
        <f>IF(AI274&lt;&gt;"",IF(AS274&lt;&gt;"","到貨","5次發包中"),IF(AH274&lt;&gt;"",IF(AR274&lt;&gt;"","到貨","4次發包中"),IF(AG274&lt;&gt;"",IF(AQ274&lt;&gt;"","到貨","3次發包中"),IF(AF274&lt;&gt;"",IF(AP274&lt;&gt;"","到貨","2次發包中"),IF(AE274&lt;&gt;"",IF(AO274&lt;&gt;"","到貨","發包中"),"")))))</f>
        <v/>
      </c>
      <c r="AW274" s="86">
        <f>IF(OR($AW$6=Y274),$AW$6,"")</f>
        <v/>
      </c>
      <c r="AX274" s="87">
        <f t="array" ref="AX274">IF(OR(AV274:AW274={"到貨","庫存"}),"完成","")</f>
        <v/>
      </c>
      <c r="AY274" s="92">
        <f>E274*$M$1</f>
        <v/>
      </c>
    </row>
    <row r="275" outlineLevel="1" ht="14.25" customHeight="1">
      <c r="A275" s="67" t="n">
        <v>270</v>
      </c>
      <c r="B275" s="526" t="n"/>
      <c r="C275" s="393" t="n"/>
      <c r="D275" s="427" t="n"/>
      <c r="E275" s="526" t="n"/>
      <c r="F275" s="526" t="n"/>
      <c r="G275" s="527" t="n"/>
      <c r="H275" s="393" t="n"/>
      <c r="I275" s="528" t="n"/>
      <c r="J275" s="528" t="n"/>
      <c r="K275" s="528" t="n"/>
      <c r="L275" s="529" t="n"/>
      <c r="M275" s="529" t="n"/>
      <c r="N275" s="530" t="n"/>
      <c r="O275" s="531" t="n"/>
      <c r="P275" s="527" t="n"/>
      <c r="Q275" s="528" t="n"/>
      <c r="R275" s="528" t="n"/>
      <c r="S275" s="528" t="n"/>
      <c r="T275" s="543" t="n"/>
      <c r="U275" s="534" t="n"/>
      <c r="V275" s="516" t="n"/>
      <c r="W275" s="535" t="n"/>
      <c r="X275" s="536" t="n"/>
      <c r="Y275" s="519" t="n"/>
      <c r="Z275" s="683" t="n"/>
      <c r="AA275" s="684" t="n"/>
      <c r="AB275" s="684" t="n"/>
      <c r="AC275" s="684" t="n"/>
      <c r="AD275" s="685" t="n"/>
      <c r="AE275" s="686" t="n"/>
      <c r="AF275" s="684" t="n"/>
      <c r="AG275" s="687" t="n"/>
      <c r="AH275" s="687" t="n"/>
      <c r="AI275" s="684" t="n"/>
      <c r="AJ275" s="686" t="n"/>
      <c r="AK275" s="687" t="n"/>
      <c r="AL275" s="687" t="n"/>
      <c r="AM275" s="687" t="n"/>
      <c r="AN275" s="688" t="n"/>
      <c r="AO275" s="686" t="n"/>
      <c r="AP275" s="689" t="n"/>
      <c r="AQ275" s="689" t="n"/>
      <c r="AR275" s="689" t="n"/>
      <c r="AS275" s="690" t="n"/>
      <c r="AT275" s="691">
        <f>IF(AJ275&lt;&gt;"",(IF(AV275="到貨","",(AJ275-TODAY()))),"")</f>
        <v/>
      </c>
      <c r="AU275" s="692">
        <f>IF(AO275&lt;&gt;"",(AO275-AE275),"")</f>
        <v/>
      </c>
      <c r="AV275" s="86">
        <f>IF(AI275&lt;&gt;"",IF(AS275&lt;&gt;"","到貨","5次發包中"),IF(AH275&lt;&gt;"",IF(AR275&lt;&gt;"","到貨","4次發包中"),IF(AG275&lt;&gt;"",IF(AQ275&lt;&gt;"","到貨","3次發包中"),IF(AF275&lt;&gt;"",IF(AP275&lt;&gt;"","到貨","2次發包中"),IF(AE275&lt;&gt;"",IF(AO275&lt;&gt;"","到貨","發包中"),"")))))</f>
        <v/>
      </c>
      <c r="AW275" s="86">
        <f>IF(OR($AW$6=Y275),$AW$6,"")</f>
        <v/>
      </c>
      <c r="AX275" s="87">
        <f t="array" ref="AX275">IF(OR(AV275:AW275={"到貨","庫存"}),"完成","")</f>
        <v/>
      </c>
      <c r="AY275" s="92">
        <f>E275*$M$1</f>
        <v/>
      </c>
    </row>
    <row r="276" outlineLevel="1" ht="14.25" customHeight="1">
      <c r="A276" s="67" t="n">
        <v>271</v>
      </c>
      <c r="B276" s="526" t="n"/>
      <c r="C276" s="393" t="n"/>
      <c r="D276" s="427" t="n"/>
      <c r="E276" s="526" t="n"/>
      <c r="F276" s="526" t="n"/>
      <c r="G276" s="527" t="n"/>
      <c r="H276" s="393" t="n"/>
      <c r="I276" s="528" t="n"/>
      <c r="J276" s="528" t="n"/>
      <c r="K276" s="528" t="n"/>
      <c r="L276" s="529" t="n"/>
      <c r="M276" s="529" t="n"/>
      <c r="N276" s="530" t="n"/>
      <c r="O276" s="531" t="n"/>
      <c r="P276" s="527" t="n"/>
      <c r="Q276" s="528" t="n"/>
      <c r="R276" s="528" t="n"/>
      <c r="S276" s="528" t="n"/>
      <c r="T276" s="543" t="n"/>
      <c r="U276" s="534" t="n"/>
      <c r="V276" s="516" t="n"/>
      <c r="W276" s="535" t="n"/>
      <c r="X276" s="536" t="n"/>
      <c r="Y276" s="519" t="n"/>
      <c r="Z276" s="683" t="n"/>
      <c r="AA276" s="684" t="n"/>
      <c r="AB276" s="684" t="n"/>
      <c r="AC276" s="684" t="n"/>
      <c r="AD276" s="685" t="n"/>
      <c r="AE276" s="686" t="n"/>
      <c r="AF276" s="684" t="n"/>
      <c r="AG276" s="687" t="n"/>
      <c r="AH276" s="687" t="n"/>
      <c r="AI276" s="684" t="n"/>
      <c r="AJ276" s="686" t="n"/>
      <c r="AK276" s="687" t="n"/>
      <c r="AL276" s="687" t="n"/>
      <c r="AM276" s="687" t="n"/>
      <c r="AN276" s="688" t="n"/>
      <c r="AO276" s="686" t="n"/>
      <c r="AP276" s="689" t="n"/>
      <c r="AQ276" s="689" t="n"/>
      <c r="AR276" s="689" t="n"/>
      <c r="AS276" s="690" t="n"/>
      <c r="AT276" s="691">
        <f>IF(AJ276&lt;&gt;"",(IF(AV276="到貨","",(AJ276-TODAY()))),"")</f>
        <v/>
      </c>
      <c r="AU276" s="692">
        <f>IF(AO276&lt;&gt;"",(AO276-AE276),"")</f>
        <v/>
      </c>
      <c r="AV276" s="86">
        <f>IF(AI276&lt;&gt;"",IF(AS276&lt;&gt;"","到貨","5次發包中"),IF(AH276&lt;&gt;"",IF(AR276&lt;&gt;"","到貨","4次發包中"),IF(AG276&lt;&gt;"",IF(AQ276&lt;&gt;"","到貨","3次發包中"),IF(AF276&lt;&gt;"",IF(AP276&lt;&gt;"","到貨","2次發包中"),IF(AE276&lt;&gt;"",IF(AO276&lt;&gt;"","到貨","發包中"),"")))))</f>
        <v/>
      </c>
      <c r="AW276" s="86">
        <f>IF(OR($AW$6=Y276),$AW$6,"")</f>
        <v/>
      </c>
      <c r="AX276" s="87">
        <f t="array" ref="AX276">IF(OR(AV276:AW276={"到貨","庫存"}),"完成","")</f>
        <v/>
      </c>
      <c r="AY276" s="92">
        <f>E276*$M$1</f>
        <v/>
      </c>
    </row>
    <row r="277" outlineLevel="1" ht="14.25" customHeight="1">
      <c r="A277" s="67" t="n">
        <v>272</v>
      </c>
      <c r="B277" s="526" t="n"/>
      <c r="C277" s="393" t="n"/>
      <c r="D277" s="427" t="n"/>
      <c r="E277" s="526" t="n"/>
      <c r="F277" s="526" t="n"/>
      <c r="G277" s="527" t="n"/>
      <c r="H277" s="393" t="n"/>
      <c r="I277" s="528" t="n"/>
      <c r="J277" s="528" t="n"/>
      <c r="K277" s="528" t="n"/>
      <c r="L277" s="529" t="n"/>
      <c r="M277" s="529" t="n"/>
      <c r="N277" s="530" t="n"/>
      <c r="O277" s="531" t="n"/>
      <c r="P277" s="527" t="n"/>
      <c r="Q277" s="528" t="n"/>
      <c r="R277" s="528" t="n"/>
      <c r="S277" s="528" t="n"/>
      <c r="T277" s="543" t="n"/>
      <c r="U277" s="534" t="n"/>
      <c r="V277" s="516" t="n"/>
      <c r="W277" s="535" t="n"/>
      <c r="X277" s="536" t="n"/>
      <c r="Y277" s="519" t="n"/>
      <c r="Z277" s="683" t="n"/>
      <c r="AA277" s="684" t="n"/>
      <c r="AB277" s="684" t="n"/>
      <c r="AC277" s="684" t="n"/>
      <c r="AD277" s="685" t="n"/>
      <c r="AE277" s="686" t="n"/>
      <c r="AF277" s="684" t="n"/>
      <c r="AG277" s="687" t="n"/>
      <c r="AH277" s="687" t="n"/>
      <c r="AI277" s="684" t="n"/>
      <c r="AJ277" s="686" t="n"/>
      <c r="AK277" s="687" t="n"/>
      <c r="AL277" s="687" t="n"/>
      <c r="AM277" s="687" t="n"/>
      <c r="AN277" s="688" t="n"/>
      <c r="AO277" s="686" t="n"/>
      <c r="AP277" s="689" t="n"/>
      <c r="AQ277" s="689" t="n"/>
      <c r="AR277" s="689" t="n"/>
      <c r="AS277" s="690" t="n"/>
      <c r="AT277" s="691">
        <f>IF(AJ277&lt;&gt;"",(IF(AV277="到貨","",(AJ277-TODAY()))),"")</f>
        <v/>
      </c>
      <c r="AU277" s="692">
        <f>IF(AO277&lt;&gt;"",(AO277-AE277),"")</f>
        <v/>
      </c>
      <c r="AV277" s="86">
        <f>IF(AI277&lt;&gt;"",IF(AS277&lt;&gt;"","到貨","5次發包中"),IF(AH277&lt;&gt;"",IF(AR277&lt;&gt;"","到貨","4次發包中"),IF(AG277&lt;&gt;"",IF(AQ277&lt;&gt;"","到貨","3次發包中"),IF(AF277&lt;&gt;"",IF(AP277&lt;&gt;"","到貨","2次發包中"),IF(AE277&lt;&gt;"",IF(AO277&lt;&gt;"","到貨","發包中"),"")))))</f>
        <v/>
      </c>
      <c r="AW277" s="86">
        <f>IF(OR($AW$6=Y277),$AW$6,"")</f>
        <v/>
      </c>
      <c r="AX277" s="87">
        <f t="array" ref="AX277">IF(OR(AV277:AW277={"到貨","庫存"}),"完成","")</f>
        <v/>
      </c>
      <c r="AY277" s="92">
        <f>E277*$M$1</f>
        <v/>
      </c>
    </row>
    <row r="278" outlineLevel="1" ht="14.25" customHeight="1">
      <c r="A278" s="67" t="n">
        <v>273</v>
      </c>
      <c r="B278" s="526" t="n"/>
      <c r="C278" s="393" t="n"/>
      <c r="D278" s="427" t="n"/>
      <c r="E278" s="526" t="n"/>
      <c r="F278" s="526" t="n"/>
      <c r="G278" s="527" t="n"/>
      <c r="H278" s="393" t="n"/>
      <c r="I278" s="528" t="n"/>
      <c r="J278" s="528" t="n"/>
      <c r="K278" s="528" t="n"/>
      <c r="L278" s="529" t="n"/>
      <c r="M278" s="529" t="n"/>
      <c r="N278" s="530" t="n"/>
      <c r="O278" s="531" t="n"/>
      <c r="P278" s="527" t="n"/>
      <c r="Q278" s="528" t="n"/>
      <c r="R278" s="528" t="n"/>
      <c r="S278" s="528" t="n"/>
      <c r="T278" s="543" t="n"/>
      <c r="U278" s="534" t="n"/>
      <c r="V278" s="516" t="n"/>
      <c r="W278" s="535" t="n"/>
      <c r="X278" s="536" t="n"/>
      <c r="Y278" s="519" t="n"/>
      <c r="Z278" s="683" t="n"/>
      <c r="AA278" s="684" t="n"/>
      <c r="AB278" s="684" t="n"/>
      <c r="AC278" s="684" t="n"/>
      <c r="AD278" s="685" t="n"/>
      <c r="AE278" s="686" t="n"/>
      <c r="AF278" s="684" t="n"/>
      <c r="AG278" s="687" t="n"/>
      <c r="AH278" s="687" t="n"/>
      <c r="AI278" s="684" t="n"/>
      <c r="AJ278" s="686" t="n"/>
      <c r="AK278" s="687" t="n"/>
      <c r="AL278" s="687" t="n"/>
      <c r="AM278" s="687" t="n"/>
      <c r="AN278" s="688" t="n"/>
      <c r="AO278" s="686" t="n"/>
      <c r="AP278" s="689" t="n"/>
      <c r="AQ278" s="689" t="n"/>
      <c r="AR278" s="689" t="n"/>
      <c r="AS278" s="690" t="n"/>
      <c r="AT278" s="691">
        <f>IF(AJ278&lt;&gt;"",(IF(AV278="到貨","",(AJ278-TODAY()))),"")</f>
        <v/>
      </c>
      <c r="AU278" s="692">
        <f>IF(AO278&lt;&gt;"",(AO278-AE278),"")</f>
        <v/>
      </c>
      <c r="AV278" s="86">
        <f>IF(AI278&lt;&gt;"",IF(AS278&lt;&gt;"","到貨","5次發包中"),IF(AH278&lt;&gt;"",IF(AR278&lt;&gt;"","到貨","4次發包中"),IF(AG278&lt;&gt;"",IF(AQ278&lt;&gt;"","到貨","3次發包中"),IF(AF278&lt;&gt;"",IF(AP278&lt;&gt;"","到貨","2次發包中"),IF(AE278&lt;&gt;"",IF(AO278&lt;&gt;"","到貨","發包中"),"")))))</f>
        <v/>
      </c>
      <c r="AW278" s="86">
        <f>IF(OR($AW$6=Y278),$AW$6,"")</f>
        <v/>
      </c>
      <c r="AX278" s="87">
        <f t="array" ref="AX278">IF(OR(AV278:AW278={"到貨","庫存"}),"完成","")</f>
        <v/>
      </c>
      <c r="AY278" s="92">
        <f>E278*$M$1</f>
        <v/>
      </c>
    </row>
    <row r="279" outlineLevel="1" ht="14.25" customHeight="1">
      <c r="A279" s="67" t="n">
        <v>274</v>
      </c>
      <c r="B279" s="526" t="n"/>
      <c r="C279" s="393" t="n"/>
      <c r="D279" s="427" t="n"/>
      <c r="E279" s="526" t="n"/>
      <c r="F279" s="526" t="n"/>
      <c r="G279" s="527" t="n"/>
      <c r="H279" s="393" t="n"/>
      <c r="I279" s="528" t="n"/>
      <c r="J279" s="528" t="n"/>
      <c r="K279" s="528" t="n"/>
      <c r="L279" s="529" t="n"/>
      <c r="M279" s="529" t="n"/>
      <c r="N279" s="530" t="n"/>
      <c r="O279" s="531" t="n"/>
      <c r="P279" s="527" t="n"/>
      <c r="Q279" s="528" t="n"/>
      <c r="R279" s="528" t="n"/>
      <c r="S279" s="528" t="n"/>
      <c r="T279" s="543" t="n"/>
      <c r="U279" s="534" t="n"/>
      <c r="V279" s="516" t="n"/>
      <c r="W279" s="535" t="n"/>
      <c r="X279" s="536" t="n"/>
      <c r="Y279" s="519" t="n"/>
      <c r="Z279" s="683" t="n"/>
      <c r="AA279" s="684" t="n"/>
      <c r="AB279" s="684" t="n"/>
      <c r="AC279" s="684" t="n"/>
      <c r="AD279" s="685" t="n"/>
      <c r="AE279" s="686" t="n"/>
      <c r="AF279" s="684" t="n"/>
      <c r="AG279" s="687" t="n"/>
      <c r="AH279" s="687" t="n"/>
      <c r="AI279" s="684" t="n"/>
      <c r="AJ279" s="686" t="n"/>
      <c r="AK279" s="687" t="n"/>
      <c r="AL279" s="687" t="n"/>
      <c r="AM279" s="687" t="n"/>
      <c r="AN279" s="688" t="n"/>
      <c r="AO279" s="686" t="n"/>
      <c r="AP279" s="689" t="n"/>
      <c r="AQ279" s="689" t="n"/>
      <c r="AR279" s="689" t="n"/>
      <c r="AS279" s="690" t="n"/>
      <c r="AT279" s="691">
        <f>IF(AJ279&lt;&gt;"",(IF(AV279="到貨","",(AJ279-TODAY()))),"")</f>
        <v/>
      </c>
      <c r="AU279" s="692">
        <f>IF(AO279&lt;&gt;"",(AO279-AE279),"")</f>
        <v/>
      </c>
      <c r="AV279" s="86">
        <f>IF(AI279&lt;&gt;"",IF(AS279&lt;&gt;"","到貨","5次發包中"),IF(AH279&lt;&gt;"",IF(AR279&lt;&gt;"","到貨","4次發包中"),IF(AG279&lt;&gt;"",IF(AQ279&lt;&gt;"","到貨","3次發包中"),IF(AF279&lt;&gt;"",IF(AP279&lt;&gt;"","到貨","2次發包中"),IF(AE279&lt;&gt;"",IF(AO279&lt;&gt;"","到貨","發包中"),"")))))</f>
        <v/>
      </c>
      <c r="AW279" s="86">
        <f>IF(OR($AW$6=Y279),$AW$6,"")</f>
        <v/>
      </c>
      <c r="AX279" s="87">
        <f t="array" ref="AX279">IF(OR(AV279:AW279={"到貨","庫存"}),"完成","")</f>
        <v/>
      </c>
      <c r="AY279" s="92">
        <f>E279*$M$1</f>
        <v/>
      </c>
    </row>
    <row r="280" outlineLevel="1" ht="14.25" customHeight="1">
      <c r="A280" s="67" t="n">
        <v>275</v>
      </c>
      <c r="B280" s="526" t="n"/>
      <c r="C280" s="393" t="n"/>
      <c r="D280" s="427" t="n"/>
      <c r="E280" s="526" t="n"/>
      <c r="F280" s="526" t="n"/>
      <c r="G280" s="527" t="n"/>
      <c r="H280" s="393" t="n"/>
      <c r="I280" s="528" t="n"/>
      <c r="J280" s="528" t="n"/>
      <c r="K280" s="528" t="n"/>
      <c r="L280" s="529" t="n"/>
      <c r="M280" s="529" t="n"/>
      <c r="N280" s="530" t="n"/>
      <c r="O280" s="531" t="n"/>
      <c r="P280" s="527" t="n"/>
      <c r="Q280" s="528" t="n"/>
      <c r="R280" s="528" t="n"/>
      <c r="S280" s="528" t="n"/>
      <c r="T280" s="543" t="n"/>
      <c r="U280" s="534" t="n"/>
      <c r="V280" s="516" t="n"/>
      <c r="W280" s="535" t="n"/>
      <c r="X280" s="536" t="n"/>
      <c r="Y280" s="519" t="n"/>
      <c r="Z280" s="683" t="n"/>
      <c r="AA280" s="684" t="n"/>
      <c r="AB280" s="684" t="n"/>
      <c r="AC280" s="684" t="n"/>
      <c r="AD280" s="685" t="n"/>
      <c r="AE280" s="686" t="n"/>
      <c r="AF280" s="684" t="n"/>
      <c r="AG280" s="687" t="n"/>
      <c r="AH280" s="687" t="n"/>
      <c r="AI280" s="684" t="n"/>
      <c r="AJ280" s="686" t="n"/>
      <c r="AK280" s="687" t="n"/>
      <c r="AL280" s="687" t="n"/>
      <c r="AM280" s="687" t="n"/>
      <c r="AN280" s="688" t="n"/>
      <c r="AO280" s="686" t="n"/>
      <c r="AP280" s="689" t="n"/>
      <c r="AQ280" s="689" t="n"/>
      <c r="AR280" s="689" t="n"/>
      <c r="AS280" s="690" t="n"/>
      <c r="AT280" s="691">
        <f>IF(AJ280&lt;&gt;"",(IF(AV280="到貨","",(AJ280-TODAY()))),"")</f>
        <v/>
      </c>
      <c r="AU280" s="692">
        <f>IF(AO280&lt;&gt;"",(AO280-AE280),"")</f>
        <v/>
      </c>
      <c r="AV280" s="86">
        <f>IF(AI280&lt;&gt;"",IF(AS280&lt;&gt;"","到貨","5次發包中"),IF(AH280&lt;&gt;"",IF(AR280&lt;&gt;"","到貨","4次發包中"),IF(AG280&lt;&gt;"",IF(AQ280&lt;&gt;"","到貨","3次發包中"),IF(AF280&lt;&gt;"",IF(AP280&lt;&gt;"","到貨","2次發包中"),IF(AE280&lt;&gt;"",IF(AO280&lt;&gt;"","到貨","發包中"),"")))))</f>
        <v/>
      </c>
      <c r="AW280" s="86">
        <f>IF(OR($AW$6=Y280),$AW$6,"")</f>
        <v/>
      </c>
      <c r="AX280" s="87">
        <f t="array" ref="AX280">IF(OR(AV280:AW280={"到貨","庫存"}),"完成","")</f>
        <v/>
      </c>
      <c r="AY280" s="92">
        <f>E280*$M$1</f>
        <v/>
      </c>
    </row>
    <row r="281" outlineLevel="1" ht="14.25" customHeight="1">
      <c r="A281" s="67" t="n">
        <v>276</v>
      </c>
      <c r="B281" s="526" t="n"/>
      <c r="C281" s="393" t="n"/>
      <c r="D281" s="427" t="n"/>
      <c r="E281" s="526" t="n"/>
      <c r="F281" s="526" t="n"/>
      <c r="G281" s="527" t="n"/>
      <c r="H281" s="393" t="n"/>
      <c r="I281" s="528" t="n"/>
      <c r="J281" s="528" t="n"/>
      <c r="K281" s="528" t="n"/>
      <c r="L281" s="529" t="n"/>
      <c r="M281" s="529" t="n"/>
      <c r="N281" s="530" t="n"/>
      <c r="O281" s="531" t="n"/>
      <c r="P281" s="527" t="n"/>
      <c r="Q281" s="528" t="n"/>
      <c r="R281" s="528" t="n"/>
      <c r="S281" s="528" t="n"/>
      <c r="T281" s="543" t="n"/>
      <c r="U281" s="534" t="n"/>
      <c r="V281" s="516" t="n"/>
      <c r="W281" s="535" t="n"/>
      <c r="X281" s="536" t="n"/>
      <c r="Y281" s="519" t="n"/>
      <c r="Z281" s="683" t="n"/>
      <c r="AA281" s="684" t="n"/>
      <c r="AB281" s="684" t="n"/>
      <c r="AC281" s="684" t="n"/>
      <c r="AD281" s="685" t="n"/>
      <c r="AE281" s="686" t="n"/>
      <c r="AF281" s="684" t="n"/>
      <c r="AG281" s="687" t="n"/>
      <c r="AH281" s="687" t="n"/>
      <c r="AI281" s="684" t="n"/>
      <c r="AJ281" s="686" t="n"/>
      <c r="AK281" s="687" t="n"/>
      <c r="AL281" s="687" t="n"/>
      <c r="AM281" s="687" t="n"/>
      <c r="AN281" s="688" t="n"/>
      <c r="AO281" s="686" t="n"/>
      <c r="AP281" s="689" t="n"/>
      <c r="AQ281" s="689" t="n"/>
      <c r="AR281" s="689" t="n"/>
      <c r="AS281" s="690" t="n"/>
      <c r="AT281" s="691">
        <f>IF(AJ281&lt;&gt;"",(IF(AV281="到貨","",(AJ281-TODAY()))),"")</f>
        <v/>
      </c>
      <c r="AU281" s="692">
        <f>IF(AO281&lt;&gt;"",(AO281-AE281),"")</f>
        <v/>
      </c>
      <c r="AV281" s="86">
        <f>IF(AI281&lt;&gt;"",IF(AS281&lt;&gt;"","到貨","5次發包中"),IF(AH281&lt;&gt;"",IF(AR281&lt;&gt;"","到貨","4次發包中"),IF(AG281&lt;&gt;"",IF(AQ281&lt;&gt;"","到貨","3次發包中"),IF(AF281&lt;&gt;"",IF(AP281&lt;&gt;"","到貨","2次發包中"),IF(AE281&lt;&gt;"",IF(AO281&lt;&gt;"","到貨","發包中"),"")))))</f>
        <v/>
      </c>
      <c r="AW281" s="86">
        <f>IF(OR($AW$6=Y281),$AW$6,"")</f>
        <v/>
      </c>
      <c r="AX281" s="87">
        <f t="array" ref="AX281">IF(OR(AV281:AW281={"到貨","庫存"}),"完成","")</f>
        <v/>
      </c>
      <c r="AY281" s="92">
        <f>E281*$M$1</f>
        <v/>
      </c>
    </row>
    <row r="282" outlineLevel="1" ht="14.25" customHeight="1">
      <c r="A282" s="67" t="n">
        <v>277</v>
      </c>
      <c r="B282" s="526" t="n"/>
      <c r="C282" s="393" t="n"/>
      <c r="D282" s="427" t="n"/>
      <c r="E282" s="526" t="n"/>
      <c r="F282" s="526" t="n"/>
      <c r="G282" s="527" t="n"/>
      <c r="H282" s="393" t="n"/>
      <c r="I282" s="528" t="n"/>
      <c r="J282" s="528" t="n"/>
      <c r="K282" s="528" t="n"/>
      <c r="L282" s="529" t="n"/>
      <c r="M282" s="529" t="n"/>
      <c r="N282" s="530" t="n"/>
      <c r="O282" s="531" t="n"/>
      <c r="P282" s="527" t="n"/>
      <c r="Q282" s="528" t="n"/>
      <c r="R282" s="528" t="n"/>
      <c r="S282" s="528" t="n"/>
      <c r="T282" s="543" t="n"/>
      <c r="U282" s="534" t="n"/>
      <c r="V282" s="516" t="n"/>
      <c r="W282" s="535" t="n"/>
      <c r="X282" s="536" t="n"/>
      <c r="Y282" s="519" t="n"/>
      <c r="Z282" s="683" t="n"/>
      <c r="AA282" s="684" t="n"/>
      <c r="AB282" s="684" t="n"/>
      <c r="AC282" s="684" t="n"/>
      <c r="AD282" s="685" t="n"/>
      <c r="AE282" s="686" t="n"/>
      <c r="AF282" s="684" t="n"/>
      <c r="AG282" s="687" t="n"/>
      <c r="AH282" s="687" t="n"/>
      <c r="AI282" s="684" t="n"/>
      <c r="AJ282" s="686" t="n"/>
      <c r="AK282" s="687" t="n"/>
      <c r="AL282" s="687" t="n"/>
      <c r="AM282" s="687" t="n"/>
      <c r="AN282" s="688" t="n"/>
      <c r="AO282" s="686" t="n"/>
      <c r="AP282" s="689" t="n"/>
      <c r="AQ282" s="689" t="n"/>
      <c r="AR282" s="689" t="n"/>
      <c r="AS282" s="690" t="n"/>
      <c r="AT282" s="691">
        <f>IF(AJ282&lt;&gt;"",(IF(AV282="到貨","",(AJ282-TODAY()))),"")</f>
        <v/>
      </c>
      <c r="AU282" s="692">
        <f>IF(AO282&lt;&gt;"",(AO282-AE282),"")</f>
        <v/>
      </c>
      <c r="AV282" s="86">
        <f>IF(AI282&lt;&gt;"",IF(AS282&lt;&gt;"","到貨","5次發包中"),IF(AH282&lt;&gt;"",IF(AR282&lt;&gt;"","到貨","4次發包中"),IF(AG282&lt;&gt;"",IF(AQ282&lt;&gt;"","到貨","3次發包中"),IF(AF282&lt;&gt;"",IF(AP282&lt;&gt;"","到貨","2次發包中"),IF(AE282&lt;&gt;"",IF(AO282&lt;&gt;"","到貨","發包中"),"")))))</f>
        <v/>
      </c>
      <c r="AW282" s="86">
        <f>IF(OR($AW$6=Y282),$AW$6,"")</f>
        <v/>
      </c>
      <c r="AX282" s="87">
        <f t="array" ref="AX282">IF(OR(AV282:AW282={"到貨","庫存"}),"完成","")</f>
        <v/>
      </c>
      <c r="AY282" s="92">
        <f>E282*$M$1</f>
        <v/>
      </c>
    </row>
    <row r="283" outlineLevel="1" ht="14.25" customHeight="1">
      <c r="A283" s="67" t="n">
        <v>278</v>
      </c>
      <c r="B283" s="526" t="n"/>
      <c r="C283" s="393" t="n"/>
      <c r="D283" s="427" t="n"/>
      <c r="E283" s="526" t="n"/>
      <c r="F283" s="526" t="n"/>
      <c r="G283" s="527" t="n"/>
      <c r="H283" s="393" t="n"/>
      <c r="I283" s="528" t="n"/>
      <c r="J283" s="528" t="n"/>
      <c r="K283" s="528" t="n"/>
      <c r="L283" s="529" t="n"/>
      <c r="M283" s="529" t="n"/>
      <c r="N283" s="530" t="n"/>
      <c r="O283" s="531" t="n"/>
      <c r="P283" s="527" t="n"/>
      <c r="Q283" s="528" t="n"/>
      <c r="R283" s="528" t="n"/>
      <c r="S283" s="528" t="n"/>
      <c r="T283" s="543" t="n"/>
      <c r="U283" s="534" t="n"/>
      <c r="V283" s="516" t="n"/>
      <c r="W283" s="535" t="n"/>
      <c r="X283" s="536" t="n"/>
      <c r="Y283" s="519" t="n"/>
      <c r="Z283" s="683" t="n"/>
      <c r="AA283" s="684" t="n"/>
      <c r="AB283" s="684" t="n"/>
      <c r="AC283" s="684" t="n"/>
      <c r="AD283" s="685" t="n"/>
      <c r="AE283" s="686" t="n"/>
      <c r="AF283" s="684" t="n"/>
      <c r="AG283" s="687" t="n"/>
      <c r="AH283" s="687" t="n"/>
      <c r="AI283" s="684" t="n"/>
      <c r="AJ283" s="686" t="n"/>
      <c r="AK283" s="687" t="n"/>
      <c r="AL283" s="687" t="n"/>
      <c r="AM283" s="687" t="n"/>
      <c r="AN283" s="688" t="n"/>
      <c r="AO283" s="686" t="n"/>
      <c r="AP283" s="689" t="n"/>
      <c r="AQ283" s="689" t="n"/>
      <c r="AR283" s="689" t="n"/>
      <c r="AS283" s="690" t="n"/>
      <c r="AT283" s="691">
        <f>IF(AJ283&lt;&gt;"",(IF(AV283="到貨","",(AJ283-TODAY()))),"")</f>
        <v/>
      </c>
      <c r="AU283" s="692">
        <f>IF(AO283&lt;&gt;"",(AO283-AE283),"")</f>
        <v/>
      </c>
      <c r="AV283" s="86">
        <f>IF(AI283&lt;&gt;"",IF(AS283&lt;&gt;"","到貨","5次發包中"),IF(AH283&lt;&gt;"",IF(AR283&lt;&gt;"","到貨","4次發包中"),IF(AG283&lt;&gt;"",IF(AQ283&lt;&gt;"","到貨","3次發包中"),IF(AF283&lt;&gt;"",IF(AP283&lt;&gt;"","到貨","2次發包中"),IF(AE283&lt;&gt;"",IF(AO283&lt;&gt;"","到貨","發包中"),"")))))</f>
        <v/>
      </c>
      <c r="AW283" s="86">
        <f>IF(OR($AW$6=Y283),$AW$6,"")</f>
        <v/>
      </c>
      <c r="AX283" s="87">
        <f t="array" ref="AX283">IF(OR(AV283:AW283={"到貨","庫存"}),"完成","")</f>
        <v/>
      </c>
      <c r="AY283" s="92">
        <f>E283*$M$1</f>
        <v/>
      </c>
    </row>
    <row r="284" outlineLevel="1" ht="14.25" customHeight="1">
      <c r="A284" s="67" t="n">
        <v>279</v>
      </c>
      <c r="B284" s="526" t="n"/>
      <c r="C284" s="393" t="n"/>
      <c r="D284" s="427" t="n"/>
      <c r="E284" s="526" t="n"/>
      <c r="F284" s="526" t="n"/>
      <c r="G284" s="527" t="n"/>
      <c r="H284" s="393" t="n"/>
      <c r="I284" s="528" t="n"/>
      <c r="J284" s="528" t="n"/>
      <c r="K284" s="528" t="n"/>
      <c r="L284" s="529" t="n"/>
      <c r="M284" s="529" t="n"/>
      <c r="N284" s="530" t="n"/>
      <c r="O284" s="531" t="n"/>
      <c r="P284" s="527" t="n"/>
      <c r="Q284" s="528" t="n"/>
      <c r="R284" s="528" t="n"/>
      <c r="S284" s="528" t="n"/>
      <c r="T284" s="543" t="n"/>
      <c r="U284" s="534" t="n"/>
      <c r="V284" s="516" t="n"/>
      <c r="W284" s="535" t="n"/>
      <c r="X284" s="536" t="n"/>
      <c r="Y284" s="519" t="n"/>
      <c r="Z284" s="683" t="n"/>
      <c r="AA284" s="684" t="n"/>
      <c r="AB284" s="684" t="n"/>
      <c r="AC284" s="684" t="n"/>
      <c r="AD284" s="685" t="n"/>
      <c r="AE284" s="686" t="n"/>
      <c r="AF284" s="684" t="n"/>
      <c r="AG284" s="687" t="n"/>
      <c r="AH284" s="687" t="n"/>
      <c r="AI284" s="684" t="n"/>
      <c r="AJ284" s="686" t="n"/>
      <c r="AK284" s="687" t="n"/>
      <c r="AL284" s="687" t="n"/>
      <c r="AM284" s="687" t="n"/>
      <c r="AN284" s="688" t="n"/>
      <c r="AO284" s="686" t="n"/>
      <c r="AP284" s="689" t="n"/>
      <c r="AQ284" s="689" t="n"/>
      <c r="AR284" s="689" t="n"/>
      <c r="AS284" s="690" t="n"/>
      <c r="AT284" s="691">
        <f>IF(AJ284&lt;&gt;"",(IF(AV284="到貨","",(AJ284-TODAY()))),"")</f>
        <v/>
      </c>
      <c r="AU284" s="692">
        <f>IF(AO284&lt;&gt;"",(AO284-AE284),"")</f>
        <v/>
      </c>
      <c r="AV284" s="86">
        <f>IF(AI284&lt;&gt;"",IF(AS284&lt;&gt;"","到貨","5次發包中"),IF(AH284&lt;&gt;"",IF(AR284&lt;&gt;"","到貨","4次發包中"),IF(AG284&lt;&gt;"",IF(AQ284&lt;&gt;"","到貨","3次發包中"),IF(AF284&lt;&gt;"",IF(AP284&lt;&gt;"","到貨","2次發包中"),IF(AE284&lt;&gt;"",IF(AO284&lt;&gt;"","到貨","發包中"),"")))))</f>
        <v/>
      </c>
      <c r="AW284" s="86">
        <f>IF(OR($AW$6=Y284),$AW$6,"")</f>
        <v/>
      </c>
      <c r="AX284" s="87">
        <f t="array" ref="AX284">IF(OR(AV284:AW284={"到貨","庫存"}),"完成","")</f>
        <v/>
      </c>
      <c r="AY284" s="92">
        <f>E284*$M$1</f>
        <v/>
      </c>
    </row>
    <row r="285" outlineLevel="1" ht="14.25" customHeight="1">
      <c r="A285" s="67" t="n">
        <v>280</v>
      </c>
      <c r="B285" s="526" t="n"/>
      <c r="C285" s="393" t="n"/>
      <c r="D285" s="427" t="n"/>
      <c r="E285" s="526" t="n"/>
      <c r="F285" s="526" t="n"/>
      <c r="G285" s="527" t="n"/>
      <c r="H285" s="393" t="n"/>
      <c r="I285" s="528" t="n"/>
      <c r="J285" s="528" t="n"/>
      <c r="K285" s="528" t="n"/>
      <c r="L285" s="529" t="n"/>
      <c r="M285" s="529" t="n"/>
      <c r="N285" s="530" t="n"/>
      <c r="O285" s="531" t="n"/>
      <c r="P285" s="527" t="n"/>
      <c r="Q285" s="528" t="n"/>
      <c r="R285" s="528" t="n"/>
      <c r="S285" s="528" t="n"/>
      <c r="T285" s="543" t="n"/>
      <c r="U285" s="534" t="n"/>
      <c r="V285" s="516" t="n"/>
      <c r="W285" s="535" t="n"/>
      <c r="X285" s="536" t="n"/>
      <c r="Y285" s="519" t="n"/>
      <c r="Z285" s="683" t="n"/>
      <c r="AA285" s="684" t="n"/>
      <c r="AB285" s="684" t="n"/>
      <c r="AC285" s="684" t="n"/>
      <c r="AD285" s="685" t="n"/>
      <c r="AE285" s="686" t="n"/>
      <c r="AF285" s="684" t="n"/>
      <c r="AG285" s="687" t="n"/>
      <c r="AH285" s="687" t="n"/>
      <c r="AI285" s="684" t="n"/>
      <c r="AJ285" s="686" t="n"/>
      <c r="AK285" s="687" t="n"/>
      <c r="AL285" s="687" t="n"/>
      <c r="AM285" s="687" t="n"/>
      <c r="AN285" s="688" t="n"/>
      <c r="AO285" s="686" t="n"/>
      <c r="AP285" s="689" t="n"/>
      <c r="AQ285" s="689" t="n"/>
      <c r="AR285" s="689" t="n"/>
      <c r="AS285" s="690" t="n"/>
      <c r="AT285" s="691">
        <f>IF(AJ285&lt;&gt;"",(IF(AV285="到貨","",(AJ285-TODAY()))),"")</f>
        <v/>
      </c>
      <c r="AU285" s="692">
        <f>IF(AO285&lt;&gt;"",(AO285-AE285),"")</f>
        <v/>
      </c>
      <c r="AV285" s="86">
        <f>IF(AI285&lt;&gt;"",IF(AS285&lt;&gt;"","到貨","5次發包中"),IF(AH285&lt;&gt;"",IF(AR285&lt;&gt;"","到貨","4次發包中"),IF(AG285&lt;&gt;"",IF(AQ285&lt;&gt;"","到貨","3次發包中"),IF(AF285&lt;&gt;"",IF(AP285&lt;&gt;"","到貨","2次發包中"),IF(AE285&lt;&gt;"",IF(AO285&lt;&gt;"","到貨","發包中"),"")))))</f>
        <v/>
      </c>
      <c r="AW285" s="86">
        <f>IF(OR($AW$6=Y285),$AW$6,"")</f>
        <v/>
      </c>
      <c r="AX285" s="87">
        <f t="array" ref="AX285">IF(OR(AV285:AW285={"到貨","庫存"}),"完成","")</f>
        <v/>
      </c>
      <c r="AY285" s="92">
        <f>E285*$M$1</f>
        <v/>
      </c>
    </row>
    <row r="286" outlineLevel="1" ht="14.25" customHeight="1">
      <c r="A286" s="67" t="n">
        <v>281</v>
      </c>
      <c r="B286" s="526" t="n"/>
      <c r="C286" s="393" t="n"/>
      <c r="D286" s="427" t="n"/>
      <c r="E286" s="526" t="n"/>
      <c r="F286" s="526" t="n"/>
      <c r="G286" s="527" t="n"/>
      <c r="H286" s="393" t="n"/>
      <c r="I286" s="528" t="n"/>
      <c r="J286" s="528" t="n"/>
      <c r="K286" s="528" t="n"/>
      <c r="L286" s="529" t="n"/>
      <c r="M286" s="529" t="n"/>
      <c r="N286" s="530" t="n"/>
      <c r="O286" s="531" t="n"/>
      <c r="P286" s="527" t="n"/>
      <c r="Q286" s="528" t="n"/>
      <c r="R286" s="528" t="n"/>
      <c r="S286" s="528" t="n"/>
      <c r="T286" s="543" t="n"/>
      <c r="U286" s="534" t="n"/>
      <c r="V286" s="516" t="n"/>
      <c r="W286" s="535" t="n"/>
      <c r="X286" s="536" t="n"/>
      <c r="Y286" s="519" t="n"/>
      <c r="Z286" s="683" t="n"/>
      <c r="AA286" s="684" t="n"/>
      <c r="AB286" s="684" t="n"/>
      <c r="AC286" s="684" t="n"/>
      <c r="AD286" s="685" t="n"/>
      <c r="AE286" s="686" t="n"/>
      <c r="AF286" s="684" t="n"/>
      <c r="AG286" s="687" t="n"/>
      <c r="AH286" s="687" t="n"/>
      <c r="AI286" s="684" t="n"/>
      <c r="AJ286" s="686" t="n"/>
      <c r="AK286" s="687" t="n"/>
      <c r="AL286" s="687" t="n"/>
      <c r="AM286" s="687" t="n"/>
      <c r="AN286" s="688" t="n"/>
      <c r="AO286" s="686" t="n"/>
      <c r="AP286" s="689" t="n"/>
      <c r="AQ286" s="689" t="n"/>
      <c r="AR286" s="689" t="n"/>
      <c r="AS286" s="690" t="n"/>
      <c r="AT286" s="691">
        <f>IF(AJ286&lt;&gt;"",(IF(AV286="到貨","",(AJ286-TODAY()))),"")</f>
        <v/>
      </c>
      <c r="AU286" s="692">
        <f>IF(AO286&lt;&gt;"",(AO286-AE286),"")</f>
        <v/>
      </c>
      <c r="AV286" s="86">
        <f>IF(AI286&lt;&gt;"",IF(AS286&lt;&gt;"","到貨","5次發包中"),IF(AH286&lt;&gt;"",IF(AR286&lt;&gt;"","到貨","4次發包中"),IF(AG286&lt;&gt;"",IF(AQ286&lt;&gt;"","到貨","3次發包中"),IF(AF286&lt;&gt;"",IF(AP286&lt;&gt;"","到貨","2次發包中"),IF(AE286&lt;&gt;"",IF(AO286&lt;&gt;"","到貨","發包中"),"")))))</f>
        <v/>
      </c>
      <c r="AW286" s="86">
        <f>IF(OR($AW$6=Y286),$AW$6,"")</f>
        <v/>
      </c>
      <c r="AX286" s="87">
        <f t="array" ref="AX286">IF(OR(AV286:AW286={"到貨","庫存"}),"完成","")</f>
        <v/>
      </c>
      <c r="AY286" s="92">
        <f>E286*$M$1</f>
        <v/>
      </c>
    </row>
    <row r="287" outlineLevel="1" ht="14.25" customHeight="1">
      <c r="A287" s="67" t="n">
        <v>282</v>
      </c>
      <c r="B287" s="526" t="n"/>
      <c r="C287" s="393" t="n"/>
      <c r="D287" s="427" t="n"/>
      <c r="E287" s="526" t="n"/>
      <c r="F287" s="526" t="n"/>
      <c r="G287" s="527" t="n"/>
      <c r="H287" s="393" t="n"/>
      <c r="I287" s="528" t="n"/>
      <c r="J287" s="528" t="n"/>
      <c r="K287" s="528" t="n"/>
      <c r="L287" s="529" t="n"/>
      <c r="M287" s="529" t="n"/>
      <c r="N287" s="530" t="n"/>
      <c r="O287" s="531" t="n"/>
      <c r="P287" s="527" t="n"/>
      <c r="Q287" s="528" t="n"/>
      <c r="R287" s="528" t="n"/>
      <c r="S287" s="528" t="n"/>
      <c r="T287" s="543" t="n"/>
      <c r="U287" s="534" t="n"/>
      <c r="V287" s="516" t="n"/>
      <c r="W287" s="535" t="n"/>
      <c r="X287" s="536" t="n"/>
      <c r="Y287" s="519" t="n"/>
      <c r="Z287" s="683" t="n"/>
      <c r="AA287" s="684" t="n"/>
      <c r="AB287" s="684" t="n"/>
      <c r="AC287" s="684" t="n"/>
      <c r="AD287" s="685" t="n"/>
      <c r="AE287" s="686" t="n"/>
      <c r="AF287" s="684" t="n"/>
      <c r="AG287" s="687" t="n"/>
      <c r="AH287" s="687" t="n"/>
      <c r="AI287" s="684" t="n"/>
      <c r="AJ287" s="686" t="n"/>
      <c r="AK287" s="687" t="n"/>
      <c r="AL287" s="687" t="n"/>
      <c r="AM287" s="687" t="n"/>
      <c r="AN287" s="688" t="n"/>
      <c r="AO287" s="686" t="n"/>
      <c r="AP287" s="689" t="n"/>
      <c r="AQ287" s="689" t="n"/>
      <c r="AR287" s="689" t="n"/>
      <c r="AS287" s="690" t="n"/>
      <c r="AT287" s="691">
        <f>IF(AJ287&lt;&gt;"",(IF(AV287="到貨","",(AJ287-TODAY()))),"")</f>
        <v/>
      </c>
      <c r="AU287" s="692">
        <f>IF(AO287&lt;&gt;"",(AO287-AE287),"")</f>
        <v/>
      </c>
      <c r="AV287" s="86">
        <f>IF(AI287&lt;&gt;"",IF(AS287&lt;&gt;"","到貨","5次發包中"),IF(AH287&lt;&gt;"",IF(AR287&lt;&gt;"","到貨","4次發包中"),IF(AG287&lt;&gt;"",IF(AQ287&lt;&gt;"","到貨","3次發包中"),IF(AF287&lt;&gt;"",IF(AP287&lt;&gt;"","到貨","2次發包中"),IF(AE287&lt;&gt;"",IF(AO287&lt;&gt;"","到貨","發包中"),"")))))</f>
        <v/>
      </c>
      <c r="AW287" s="86">
        <f>IF(OR($AW$6=Y287),$AW$6,"")</f>
        <v/>
      </c>
      <c r="AX287" s="87">
        <f t="array" ref="AX287">IF(OR(AV287:AW287={"到貨","庫存"}),"完成","")</f>
        <v/>
      </c>
      <c r="AY287" s="92">
        <f>E287*$M$1</f>
        <v/>
      </c>
    </row>
    <row r="288" outlineLevel="1" ht="14.25" customHeight="1">
      <c r="A288" s="67" t="n">
        <v>283</v>
      </c>
      <c r="B288" s="526" t="n"/>
      <c r="C288" s="393" t="n"/>
      <c r="D288" s="427" t="n"/>
      <c r="E288" s="526" t="n"/>
      <c r="F288" s="526" t="n"/>
      <c r="G288" s="527" t="n"/>
      <c r="H288" s="393" t="n"/>
      <c r="I288" s="528" t="n"/>
      <c r="J288" s="528" t="n"/>
      <c r="K288" s="528" t="n"/>
      <c r="L288" s="529" t="n"/>
      <c r="M288" s="529" t="n"/>
      <c r="N288" s="530" t="n"/>
      <c r="O288" s="531" t="n"/>
      <c r="P288" s="527" t="n"/>
      <c r="Q288" s="528" t="n"/>
      <c r="R288" s="528" t="n"/>
      <c r="S288" s="528" t="n"/>
      <c r="T288" s="543" t="n"/>
      <c r="U288" s="534" t="n"/>
      <c r="V288" s="516" t="n"/>
      <c r="W288" s="535" t="n"/>
      <c r="X288" s="536" t="n"/>
      <c r="Y288" s="519" t="n"/>
      <c r="Z288" s="683" t="n"/>
      <c r="AA288" s="684" t="n"/>
      <c r="AB288" s="684" t="n"/>
      <c r="AC288" s="684" t="n"/>
      <c r="AD288" s="685" t="n"/>
      <c r="AE288" s="686" t="n"/>
      <c r="AF288" s="684" t="n"/>
      <c r="AG288" s="687" t="n"/>
      <c r="AH288" s="687" t="n"/>
      <c r="AI288" s="684" t="n"/>
      <c r="AJ288" s="686" t="n"/>
      <c r="AK288" s="687" t="n"/>
      <c r="AL288" s="687" t="n"/>
      <c r="AM288" s="687" t="n"/>
      <c r="AN288" s="688" t="n"/>
      <c r="AO288" s="686" t="n"/>
      <c r="AP288" s="689" t="n"/>
      <c r="AQ288" s="689" t="n"/>
      <c r="AR288" s="689" t="n"/>
      <c r="AS288" s="690" t="n"/>
      <c r="AT288" s="691">
        <f>IF(AJ288&lt;&gt;"",(IF(AV288="到貨","",(AJ288-TODAY()))),"")</f>
        <v/>
      </c>
      <c r="AU288" s="692">
        <f>IF(AO288&lt;&gt;"",(AO288-AE288),"")</f>
        <v/>
      </c>
      <c r="AV288" s="86">
        <f>IF(AI288&lt;&gt;"",IF(AS288&lt;&gt;"","到貨","5次發包中"),IF(AH288&lt;&gt;"",IF(AR288&lt;&gt;"","到貨","4次發包中"),IF(AG288&lt;&gt;"",IF(AQ288&lt;&gt;"","到貨","3次發包中"),IF(AF288&lt;&gt;"",IF(AP288&lt;&gt;"","到貨","2次發包中"),IF(AE288&lt;&gt;"",IF(AO288&lt;&gt;"","到貨","發包中"),"")))))</f>
        <v/>
      </c>
      <c r="AW288" s="86">
        <f>IF(OR($AW$6=Y288),$AW$6,"")</f>
        <v/>
      </c>
      <c r="AX288" s="87">
        <f t="array" ref="AX288">IF(OR(AV288:AW288={"到貨","庫存"}),"完成","")</f>
        <v/>
      </c>
      <c r="AY288" s="92">
        <f>E288*$M$1</f>
        <v/>
      </c>
    </row>
    <row r="289" outlineLevel="1" ht="14.25" customHeight="1">
      <c r="A289" s="67" t="n">
        <v>284</v>
      </c>
      <c r="B289" s="526" t="n"/>
      <c r="C289" s="393" t="n"/>
      <c r="D289" s="427" t="n"/>
      <c r="E289" s="526" t="n"/>
      <c r="F289" s="526" t="n"/>
      <c r="G289" s="527" t="n"/>
      <c r="H289" s="393" t="n"/>
      <c r="I289" s="528" t="n"/>
      <c r="J289" s="528" t="n"/>
      <c r="K289" s="528" t="n"/>
      <c r="L289" s="529" t="n"/>
      <c r="M289" s="529" t="n"/>
      <c r="N289" s="530" t="n"/>
      <c r="O289" s="531" t="n"/>
      <c r="P289" s="527" t="n"/>
      <c r="Q289" s="528" t="n"/>
      <c r="R289" s="528" t="n"/>
      <c r="S289" s="528" t="n"/>
      <c r="T289" s="543" t="n"/>
      <c r="U289" s="534" t="n"/>
      <c r="V289" s="516" t="n"/>
      <c r="W289" s="535" t="n"/>
      <c r="X289" s="536" t="n"/>
      <c r="Y289" s="519" t="n"/>
      <c r="Z289" s="683" t="n"/>
      <c r="AA289" s="684" t="n"/>
      <c r="AB289" s="684" t="n"/>
      <c r="AC289" s="684" t="n"/>
      <c r="AD289" s="685" t="n"/>
      <c r="AE289" s="686" t="n"/>
      <c r="AF289" s="684" t="n"/>
      <c r="AG289" s="687" t="n"/>
      <c r="AH289" s="687" t="n"/>
      <c r="AI289" s="684" t="n"/>
      <c r="AJ289" s="686" t="n"/>
      <c r="AK289" s="687" t="n"/>
      <c r="AL289" s="687" t="n"/>
      <c r="AM289" s="687" t="n"/>
      <c r="AN289" s="688" t="n"/>
      <c r="AO289" s="686" t="n"/>
      <c r="AP289" s="689" t="n"/>
      <c r="AQ289" s="689" t="n"/>
      <c r="AR289" s="689" t="n"/>
      <c r="AS289" s="690" t="n"/>
      <c r="AT289" s="691">
        <f>IF(AJ289&lt;&gt;"",(IF(AV289="到貨","",(AJ289-TODAY()))),"")</f>
        <v/>
      </c>
      <c r="AU289" s="692">
        <f>IF(AO289&lt;&gt;"",(AO289-AE289),"")</f>
        <v/>
      </c>
      <c r="AV289" s="86">
        <f>IF(AI289&lt;&gt;"",IF(AS289&lt;&gt;"","到貨","5次發包中"),IF(AH289&lt;&gt;"",IF(AR289&lt;&gt;"","到貨","4次發包中"),IF(AG289&lt;&gt;"",IF(AQ289&lt;&gt;"","到貨","3次發包中"),IF(AF289&lt;&gt;"",IF(AP289&lt;&gt;"","到貨","2次發包中"),IF(AE289&lt;&gt;"",IF(AO289&lt;&gt;"","到貨","發包中"),"")))))</f>
        <v/>
      </c>
      <c r="AW289" s="86">
        <f>IF(OR($AW$6=Y289),$AW$6,"")</f>
        <v/>
      </c>
      <c r="AX289" s="87">
        <f t="array" ref="AX289">IF(OR(AV289:AW289={"到貨","庫存"}),"完成","")</f>
        <v/>
      </c>
      <c r="AY289" s="92">
        <f>E289*$M$1</f>
        <v/>
      </c>
    </row>
    <row r="290" outlineLevel="1" ht="14.25" customHeight="1">
      <c r="A290" s="67" t="n">
        <v>285</v>
      </c>
      <c r="B290" s="526" t="n"/>
      <c r="C290" s="393" t="n"/>
      <c r="D290" s="427" t="n"/>
      <c r="E290" s="526" t="n"/>
      <c r="F290" s="526" t="n"/>
      <c r="G290" s="527" t="n"/>
      <c r="H290" s="393" t="n"/>
      <c r="I290" s="528" t="n"/>
      <c r="J290" s="528" t="n"/>
      <c r="K290" s="528" t="n"/>
      <c r="L290" s="529" t="n"/>
      <c r="M290" s="529" t="n"/>
      <c r="N290" s="530" t="n"/>
      <c r="O290" s="531" t="n"/>
      <c r="P290" s="527" t="n"/>
      <c r="Q290" s="528" t="n"/>
      <c r="R290" s="528" t="n"/>
      <c r="S290" s="528" t="n"/>
      <c r="T290" s="543" t="n"/>
      <c r="U290" s="534" t="n"/>
      <c r="V290" s="516" t="n"/>
      <c r="W290" s="535" t="n"/>
      <c r="X290" s="536" t="n"/>
      <c r="Y290" s="519" t="n"/>
      <c r="Z290" s="683" t="n"/>
      <c r="AA290" s="684" t="n"/>
      <c r="AB290" s="684" t="n"/>
      <c r="AC290" s="684" t="n"/>
      <c r="AD290" s="685" t="n"/>
      <c r="AE290" s="686" t="n"/>
      <c r="AF290" s="684" t="n"/>
      <c r="AG290" s="687" t="n"/>
      <c r="AH290" s="687" t="n"/>
      <c r="AI290" s="684" t="n"/>
      <c r="AJ290" s="686" t="n"/>
      <c r="AK290" s="687" t="n"/>
      <c r="AL290" s="687" t="n"/>
      <c r="AM290" s="687" t="n"/>
      <c r="AN290" s="688" t="n"/>
      <c r="AO290" s="686" t="n"/>
      <c r="AP290" s="689" t="n"/>
      <c r="AQ290" s="689" t="n"/>
      <c r="AR290" s="689" t="n"/>
      <c r="AS290" s="690" t="n"/>
      <c r="AT290" s="691">
        <f>IF(AJ290&lt;&gt;"",(IF(AV290="到貨","",(AJ290-TODAY()))),"")</f>
        <v/>
      </c>
      <c r="AU290" s="692">
        <f>IF(AO290&lt;&gt;"",(AO290-AE290),"")</f>
        <v/>
      </c>
      <c r="AV290" s="86">
        <f>IF(AI290&lt;&gt;"",IF(AS290&lt;&gt;"","到貨","5次發包中"),IF(AH290&lt;&gt;"",IF(AR290&lt;&gt;"","到貨","4次發包中"),IF(AG290&lt;&gt;"",IF(AQ290&lt;&gt;"","到貨","3次發包中"),IF(AF290&lt;&gt;"",IF(AP290&lt;&gt;"","到貨","2次發包中"),IF(AE290&lt;&gt;"",IF(AO290&lt;&gt;"","到貨","發包中"),"")))))</f>
        <v/>
      </c>
      <c r="AW290" s="86">
        <f>IF(OR($AW$6=Y290),$AW$6,"")</f>
        <v/>
      </c>
      <c r="AX290" s="87">
        <f t="array" ref="AX290">IF(OR(AV290:AW290={"到貨","庫存"}),"完成","")</f>
        <v/>
      </c>
      <c r="AY290" s="92">
        <f>E290*$M$1</f>
        <v/>
      </c>
    </row>
    <row r="291" outlineLevel="1" ht="14.25" customHeight="1">
      <c r="A291" s="67" t="n">
        <v>286</v>
      </c>
      <c r="B291" s="526" t="n"/>
      <c r="C291" s="393" t="n"/>
      <c r="D291" s="427" t="n"/>
      <c r="E291" s="526" t="n"/>
      <c r="F291" s="526" t="n"/>
      <c r="G291" s="527" t="n"/>
      <c r="H291" s="393" t="n"/>
      <c r="I291" s="528" t="n"/>
      <c r="J291" s="528" t="n"/>
      <c r="K291" s="528" t="n"/>
      <c r="L291" s="529" t="n"/>
      <c r="M291" s="529" t="n"/>
      <c r="N291" s="530" t="n"/>
      <c r="O291" s="531" t="n"/>
      <c r="P291" s="527" t="n"/>
      <c r="Q291" s="528" t="n"/>
      <c r="R291" s="528" t="n"/>
      <c r="S291" s="528" t="n"/>
      <c r="T291" s="543" t="n"/>
      <c r="U291" s="534" t="n"/>
      <c r="V291" s="516" t="n"/>
      <c r="W291" s="535" t="n"/>
      <c r="X291" s="536" t="n"/>
      <c r="Y291" s="519" t="n"/>
      <c r="Z291" s="683" t="n"/>
      <c r="AA291" s="684" t="n"/>
      <c r="AB291" s="684" t="n"/>
      <c r="AC291" s="684" t="n"/>
      <c r="AD291" s="685" t="n"/>
      <c r="AE291" s="686" t="n"/>
      <c r="AF291" s="684" t="n"/>
      <c r="AG291" s="687" t="n"/>
      <c r="AH291" s="687" t="n"/>
      <c r="AI291" s="684" t="n"/>
      <c r="AJ291" s="686" t="n"/>
      <c r="AK291" s="687" t="n"/>
      <c r="AL291" s="687" t="n"/>
      <c r="AM291" s="687" t="n"/>
      <c r="AN291" s="688" t="n"/>
      <c r="AO291" s="686" t="n"/>
      <c r="AP291" s="689" t="n"/>
      <c r="AQ291" s="689" t="n"/>
      <c r="AR291" s="689" t="n"/>
      <c r="AS291" s="690" t="n"/>
      <c r="AT291" s="691">
        <f>IF(AJ291&lt;&gt;"",(IF(AV291="到貨","",(AJ291-TODAY()))),"")</f>
        <v/>
      </c>
      <c r="AU291" s="692">
        <f>IF(AO291&lt;&gt;"",(AO291-AE291),"")</f>
        <v/>
      </c>
      <c r="AV291" s="86">
        <f>IF(AI291&lt;&gt;"",IF(AS291&lt;&gt;"","到貨","5次發包中"),IF(AH291&lt;&gt;"",IF(AR291&lt;&gt;"","到貨","4次發包中"),IF(AG291&lt;&gt;"",IF(AQ291&lt;&gt;"","到貨","3次發包中"),IF(AF291&lt;&gt;"",IF(AP291&lt;&gt;"","到貨","2次發包中"),IF(AE291&lt;&gt;"",IF(AO291&lt;&gt;"","到貨","發包中"),"")))))</f>
        <v/>
      </c>
      <c r="AW291" s="86">
        <f>IF(OR($AW$6=Y291),$AW$6,"")</f>
        <v/>
      </c>
      <c r="AX291" s="87">
        <f t="array" ref="AX291">IF(OR(AV291:AW291={"到貨","庫存"}),"完成","")</f>
        <v/>
      </c>
      <c r="AY291" s="92">
        <f>E291*$M$1</f>
        <v/>
      </c>
    </row>
    <row r="292" outlineLevel="1" ht="14.25" customHeight="1">
      <c r="A292" s="67" t="n">
        <v>287</v>
      </c>
      <c r="B292" s="526" t="n"/>
      <c r="C292" s="393" t="n"/>
      <c r="D292" s="427" t="n"/>
      <c r="E292" s="526" t="n"/>
      <c r="F292" s="526" t="n"/>
      <c r="G292" s="527" t="n"/>
      <c r="H292" s="393" t="n"/>
      <c r="I292" s="528" t="n"/>
      <c r="J292" s="528" t="n"/>
      <c r="K292" s="528" t="n"/>
      <c r="L292" s="529" t="n"/>
      <c r="M292" s="529" t="n"/>
      <c r="N292" s="530" t="n"/>
      <c r="O292" s="531" t="n"/>
      <c r="P292" s="527" t="n"/>
      <c r="Q292" s="528" t="n"/>
      <c r="R292" s="528" t="n"/>
      <c r="S292" s="528" t="n"/>
      <c r="T292" s="543" t="n"/>
      <c r="U292" s="534" t="n"/>
      <c r="V292" s="516" t="n"/>
      <c r="W292" s="535" t="n"/>
      <c r="X292" s="536" t="n"/>
      <c r="Y292" s="519" t="n"/>
      <c r="Z292" s="683" t="n"/>
      <c r="AA292" s="684" t="n"/>
      <c r="AB292" s="684" t="n"/>
      <c r="AC292" s="684" t="n"/>
      <c r="AD292" s="685" t="n"/>
      <c r="AE292" s="686" t="n"/>
      <c r="AF292" s="684" t="n"/>
      <c r="AG292" s="687" t="n"/>
      <c r="AH292" s="687" t="n"/>
      <c r="AI292" s="684" t="n"/>
      <c r="AJ292" s="686" t="n"/>
      <c r="AK292" s="687" t="n"/>
      <c r="AL292" s="687" t="n"/>
      <c r="AM292" s="687" t="n"/>
      <c r="AN292" s="688" t="n"/>
      <c r="AO292" s="686" t="n"/>
      <c r="AP292" s="689" t="n"/>
      <c r="AQ292" s="689" t="n"/>
      <c r="AR292" s="689" t="n"/>
      <c r="AS292" s="690" t="n"/>
      <c r="AT292" s="691">
        <f>IF(AJ292&lt;&gt;"",(IF(AV292="到貨","",(AJ292-TODAY()))),"")</f>
        <v/>
      </c>
      <c r="AU292" s="692">
        <f>IF(AO292&lt;&gt;"",(AO292-AE292),"")</f>
        <v/>
      </c>
      <c r="AV292" s="86">
        <f>IF(AI292&lt;&gt;"",IF(AS292&lt;&gt;"","到貨","5次發包中"),IF(AH292&lt;&gt;"",IF(AR292&lt;&gt;"","到貨","4次發包中"),IF(AG292&lt;&gt;"",IF(AQ292&lt;&gt;"","到貨","3次發包中"),IF(AF292&lt;&gt;"",IF(AP292&lt;&gt;"","到貨","2次發包中"),IF(AE292&lt;&gt;"",IF(AO292&lt;&gt;"","到貨","發包中"),"")))))</f>
        <v/>
      </c>
      <c r="AW292" s="86">
        <f>IF(OR($AW$6=Y292),$AW$6,"")</f>
        <v/>
      </c>
      <c r="AX292" s="87">
        <f t="array" ref="AX292">IF(OR(AV292:AW292={"到貨","庫存"}),"完成","")</f>
        <v/>
      </c>
      <c r="AY292" s="92">
        <f>E292*$M$1</f>
        <v/>
      </c>
    </row>
    <row r="293" outlineLevel="1" ht="14.25" customHeight="1">
      <c r="A293" s="67" t="n">
        <v>288</v>
      </c>
      <c r="B293" s="526" t="n"/>
      <c r="C293" s="393" t="n"/>
      <c r="D293" s="427" t="n"/>
      <c r="E293" s="526" t="n"/>
      <c r="F293" s="526" t="n"/>
      <c r="G293" s="527" t="n"/>
      <c r="H293" s="393" t="n"/>
      <c r="I293" s="528" t="n"/>
      <c r="J293" s="528" t="n"/>
      <c r="K293" s="528" t="n"/>
      <c r="L293" s="529" t="n"/>
      <c r="M293" s="529" t="n"/>
      <c r="N293" s="530" t="n"/>
      <c r="O293" s="531" t="n"/>
      <c r="P293" s="527" t="n"/>
      <c r="Q293" s="528" t="n"/>
      <c r="R293" s="528" t="n"/>
      <c r="S293" s="528" t="n"/>
      <c r="T293" s="543" t="n"/>
      <c r="U293" s="534" t="n"/>
      <c r="V293" s="516" t="n"/>
      <c r="W293" s="535" t="n"/>
      <c r="X293" s="536" t="n"/>
      <c r="Y293" s="519" t="n"/>
      <c r="Z293" s="683" t="n"/>
      <c r="AA293" s="684" t="n"/>
      <c r="AB293" s="684" t="n"/>
      <c r="AC293" s="684" t="n"/>
      <c r="AD293" s="685" t="n"/>
      <c r="AE293" s="686" t="n"/>
      <c r="AF293" s="684" t="n"/>
      <c r="AG293" s="687" t="n"/>
      <c r="AH293" s="687" t="n"/>
      <c r="AI293" s="684" t="n"/>
      <c r="AJ293" s="686" t="n"/>
      <c r="AK293" s="687" t="n"/>
      <c r="AL293" s="687" t="n"/>
      <c r="AM293" s="687" t="n"/>
      <c r="AN293" s="688" t="n"/>
      <c r="AO293" s="686" t="n"/>
      <c r="AP293" s="689" t="n"/>
      <c r="AQ293" s="689" t="n"/>
      <c r="AR293" s="689" t="n"/>
      <c r="AS293" s="690" t="n"/>
      <c r="AT293" s="691">
        <f>IF(AJ293&lt;&gt;"",(IF(AV293="到貨","",(AJ293-TODAY()))),"")</f>
        <v/>
      </c>
      <c r="AU293" s="692">
        <f>IF(AO293&lt;&gt;"",(AO293-AE293),"")</f>
        <v/>
      </c>
      <c r="AV293" s="86">
        <f>IF(AI293&lt;&gt;"",IF(AS293&lt;&gt;"","到貨","5次發包中"),IF(AH293&lt;&gt;"",IF(AR293&lt;&gt;"","到貨","4次發包中"),IF(AG293&lt;&gt;"",IF(AQ293&lt;&gt;"","到貨","3次發包中"),IF(AF293&lt;&gt;"",IF(AP293&lt;&gt;"","到貨","2次發包中"),IF(AE293&lt;&gt;"",IF(AO293&lt;&gt;"","到貨","發包中"),"")))))</f>
        <v/>
      </c>
      <c r="AW293" s="86">
        <f>IF(OR($AW$6=Y293),$AW$6,"")</f>
        <v/>
      </c>
      <c r="AX293" s="87">
        <f t="array" ref="AX293">IF(OR(AV293:AW293={"到貨","庫存"}),"完成","")</f>
        <v/>
      </c>
      <c r="AY293" s="92">
        <f>E293*$M$1</f>
        <v/>
      </c>
    </row>
    <row r="294" outlineLevel="1" ht="14.25" customHeight="1">
      <c r="A294" s="67" t="n">
        <v>289</v>
      </c>
      <c r="B294" s="526" t="n"/>
      <c r="C294" s="393" t="n"/>
      <c r="D294" s="427" t="n"/>
      <c r="E294" s="526" t="n"/>
      <c r="F294" s="526" t="n"/>
      <c r="G294" s="527" t="n"/>
      <c r="H294" s="393" t="n"/>
      <c r="I294" s="528" t="n"/>
      <c r="J294" s="528" t="n"/>
      <c r="K294" s="528" t="n"/>
      <c r="L294" s="529" t="n"/>
      <c r="M294" s="529" t="n"/>
      <c r="N294" s="530" t="n"/>
      <c r="O294" s="531" t="n"/>
      <c r="P294" s="527" t="n"/>
      <c r="Q294" s="528" t="n"/>
      <c r="R294" s="528" t="n"/>
      <c r="S294" s="528" t="n"/>
      <c r="T294" s="543" t="n"/>
      <c r="U294" s="534" t="n"/>
      <c r="V294" s="516" t="n"/>
      <c r="W294" s="535" t="n"/>
      <c r="X294" s="536" t="n"/>
      <c r="Y294" s="519" t="n"/>
      <c r="Z294" s="683" t="n"/>
      <c r="AA294" s="684" t="n"/>
      <c r="AB294" s="684" t="n"/>
      <c r="AC294" s="684" t="n"/>
      <c r="AD294" s="685" t="n"/>
      <c r="AE294" s="686" t="n"/>
      <c r="AF294" s="684" t="n"/>
      <c r="AG294" s="687" t="n"/>
      <c r="AH294" s="687" t="n"/>
      <c r="AI294" s="684" t="n"/>
      <c r="AJ294" s="686" t="n"/>
      <c r="AK294" s="687" t="n"/>
      <c r="AL294" s="687" t="n"/>
      <c r="AM294" s="687" t="n"/>
      <c r="AN294" s="688" t="n"/>
      <c r="AO294" s="686" t="n"/>
      <c r="AP294" s="689" t="n"/>
      <c r="AQ294" s="689" t="n"/>
      <c r="AR294" s="689" t="n"/>
      <c r="AS294" s="690" t="n"/>
      <c r="AT294" s="691">
        <f>IF(AJ294&lt;&gt;"",(IF(AV294="到貨","",(AJ294-TODAY()))),"")</f>
        <v/>
      </c>
      <c r="AU294" s="692">
        <f>IF(AO294&lt;&gt;"",(AO294-AE294),"")</f>
        <v/>
      </c>
      <c r="AV294" s="86">
        <f>IF(AI294&lt;&gt;"",IF(AS294&lt;&gt;"","到貨","5次發包中"),IF(AH294&lt;&gt;"",IF(AR294&lt;&gt;"","到貨","4次發包中"),IF(AG294&lt;&gt;"",IF(AQ294&lt;&gt;"","到貨","3次發包中"),IF(AF294&lt;&gt;"",IF(AP294&lt;&gt;"","到貨","2次發包中"),IF(AE294&lt;&gt;"",IF(AO294&lt;&gt;"","到貨","發包中"),"")))))</f>
        <v/>
      </c>
      <c r="AW294" s="86">
        <f>IF(OR($AW$6=Y294),$AW$6,"")</f>
        <v/>
      </c>
      <c r="AX294" s="87">
        <f t="array" ref="AX294">IF(OR(AV294:AW294={"到貨","庫存"}),"完成","")</f>
        <v/>
      </c>
      <c r="AY294" s="92">
        <f>E294*$M$1</f>
        <v/>
      </c>
    </row>
    <row r="295" outlineLevel="1" ht="14.25" customHeight="1">
      <c r="A295" s="67" t="n">
        <v>290</v>
      </c>
      <c r="B295" s="526" t="n"/>
      <c r="C295" s="393" t="n"/>
      <c r="D295" s="427" t="n"/>
      <c r="E295" s="526" t="n"/>
      <c r="F295" s="526" t="n"/>
      <c r="G295" s="527" t="n"/>
      <c r="H295" s="393" t="n"/>
      <c r="I295" s="528" t="n"/>
      <c r="J295" s="528" t="n"/>
      <c r="K295" s="528" t="n"/>
      <c r="L295" s="529" t="n"/>
      <c r="M295" s="529" t="n"/>
      <c r="N295" s="530" t="n"/>
      <c r="O295" s="531" t="n"/>
      <c r="P295" s="527" t="n"/>
      <c r="Q295" s="528" t="n"/>
      <c r="R295" s="528" t="n"/>
      <c r="S295" s="528" t="n"/>
      <c r="T295" s="543" t="n"/>
      <c r="U295" s="534" t="n"/>
      <c r="V295" s="516" t="n"/>
      <c r="W295" s="535" t="n"/>
      <c r="X295" s="536" t="n"/>
      <c r="Y295" s="519" t="n"/>
      <c r="Z295" s="683" t="n"/>
      <c r="AA295" s="684" t="n"/>
      <c r="AB295" s="684" t="n"/>
      <c r="AC295" s="684" t="n"/>
      <c r="AD295" s="685" t="n"/>
      <c r="AE295" s="686" t="n"/>
      <c r="AF295" s="684" t="n"/>
      <c r="AG295" s="687" t="n"/>
      <c r="AH295" s="687" t="n"/>
      <c r="AI295" s="684" t="n"/>
      <c r="AJ295" s="686" t="n"/>
      <c r="AK295" s="687" t="n"/>
      <c r="AL295" s="687" t="n"/>
      <c r="AM295" s="687" t="n"/>
      <c r="AN295" s="688" t="n"/>
      <c r="AO295" s="686" t="n"/>
      <c r="AP295" s="689" t="n"/>
      <c r="AQ295" s="689" t="n"/>
      <c r="AR295" s="689" t="n"/>
      <c r="AS295" s="690" t="n"/>
      <c r="AT295" s="691">
        <f>IF(AJ295&lt;&gt;"",(IF(AV295="到貨","",(AJ295-TODAY()))),"")</f>
        <v/>
      </c>
      <c r="AU295" s="692">
        <f>IF(AO295&lt;&gt;"",(AO295-AE295),"")</f>
        <v/>
      </c>
      <c r="AV295" s="86">
        <f>IF(AI295&lt;&gt;"",IF(AS295&lt;&gt;"","到貨","5次發包中"),IF(AH295&lt;&gt;"",IF(AR295&lt;&gt;"","到貨","4次發包中"),IF(AG295&lt;&gt;"",IF(AQ295&lt;&gt;"","到貨","3次發包中"),IF(AF295&lt;&gt;"",IF(AP295&lt;&gt;"","到貨","2次發包中"),IF(AE295&lt;&gt;"",IF(AO295&lt;&gt;"","到貨","發包中"),"")))))</f>
        <v/>
      </c>
      <c r="AW295" s="86">
        <f>IF(OR($AW$6=Y295),$AW$6,"")</f>
        <v/>
      </c>
      <c r="AX295" s="87">
        <f t="array" ref="AX295">IF(OR(AV295:AW295={"到貨","庫存"}),"完成","")</f>
        <v/>
      </c>
      <c r="AY295" s="92">
        <f>E295*$M$1</f>
        <v/>
      </c>
    </row>
    <row r="296" outlineLevel="1" ht="14.25" customHeight="1">
      <c r="A296" s="67" t="n">
        <v>291</v>
      </c>
      <c r="B296" s="526" t="n"/>
      <c r="C296" s="393" t="n"/>
      <c r="D296" s="427" t="n"/>
      <c r="E296" s="526" t="n"/>
      <c r="F296" s="526" t="n"/>
      <c r="G296" s="527" t="n"/>
      <c r="H296" s="393" t="n"/>
      <c r="I296" s="528" t="n"/>
      <c r="J296" s="528" t="n"/>
      <c r="K296" s="528" t="n"/>
      <c r="L296" s="529" t="n"/>
      <c r="M296" s="529" t="n"/>
      <c r="N296" s="530" t="n"/>
      <c r="O296" s="531" t="n"/>
      <c r="P296" s="527" t="n"/>
      <c r="Q296" s="528" t="n"/>
      <c r="R296" s="528" t="n"/>
      <c r="S296" s="528" t="n"/>
      <c r="T296" s="543" t="n"/>
      <c r="U296" s="534" t="n"/>
      <c r="V296" s="516" t="n"/>
      <c r="W296" s="535" t="n"/>
      <c r="X296" s="536" t="n"/>
      <c r="Y296" s="519" t="n"/>
      <c r="Z296" s="683" t="n"/>
      <c r="AA296" s="684" t="n"/>
      <c r="AB296" s="684" t="n"/>
      <c r="AC296" s="684" t="n"/>
      <c r="AD296" s="685" t="n"/>
      <c r="AE296" s="686" t="n"/>
      <c r="AF296" s="684" t="n"/>
      <c r="AG296" s="687" t="n"/>
      <c r="AH296" s="687" t="n"/>
      <c r="AI296" s="684" t="n"/>
      <c r="AJ296" s="686" t="n"/>
      <c r="AK296" s="687" t="n"/>
      <c r="AL296" s="687" t="n"/>
      <c r="AM296" s="687" t="n"/>
      <c r="AN296" s="688" t="n"/>
      <c r="AO296" s="686" t="n"/>
      <c r="AP296" s="689" t="n"/>
      <c r="AQ296" s="689" t="n"/>
      <c r="AR296" s="689" t="n"/>
      <c r="AS296" s="690" t="n"/>
      <c r="AT296" s="691">
        <f>IF(AJ296&lt;&gt;"",(IF(AV296="到貨","",(AJ296-TODAY()))),"")</f>
        <v/>
      </c>
      <c r="AU296" s="692">
        <f>IF(AO296&lt;&gt;"",(AO296-AE296),"")</f>
        <v/>
      </c>
      <c r="AV296" s="86">
        <f>IF(AI296&lt;&gt;"",IF(AS296&lt;&gt;"","到貨","5次發包中"),IF(AH296&lt;&gt;"",IF(AR296&lt;&gt;"","到貨","4次發包中"),IF(AG296&lt;&gt;"",IF(AQ296&lt;&gt;"","到貨","3次發包中"),IF(AF296&lt;&gt;"",IF(AP296&lt;&gt;"","到貨","2次發包中"),IF(AE296&lt;&gt;"",IF(AO296&lt;&gt;"","到貨","發包中"),"")))))</f>
        <v/>
      </c>
      <c r="AW296" s="86">
        <f>IF(OR($AW$6=Y296),$AW$6,"")</f>
        <v/>
      </c>
      <c r="AX296" s="87">
        <f t="array" ref="AX296">IF(OR(AV296:AW296={"到貨","庫存"}),"完成","")</f>
        <v/>
      </c>
      <c r="AY296" s="92">
        <f>E296*$M$1</f>
        <v/>
      </c>
    </row>
    <row r="297" outlineLevel="1" ht="14.25" customHeight="1">
      <c r="A297" s="67" t="n">
        <v>292</v>
      </c>
      <c r="B297" s="526" t="n"/>
      <c r="C297" s="393" t="n"/>
      <c r="D297" s="427" t="n"/>
      <c r="E297" s="526" t="n"/>
      <c r="F297" s="526" t="n"/>
      <c r="G297" s="527" t="n"/>
      <c r="H297" s="393" t="n"/>
      <c r="I297" s="528" t="n"/>
      <c r="J297" s="528" t="n"/>
      <c r="K297" s="528" t="n"/>
      <c r="L297" s="529" t="n"/>
      <c r="M297" s="529" t="n"/>
      <c r="N297" s="530" t="n"/>
      <c r="O297" s="531" t="n"/>
      <c r="P297" s="527" t="n"/>
      <c r="Q297" s="528" t="n"/>
      <c r="R297" s="528" t="n"/>
      <c r="S297" s="528" t="n"/>
      <c r="T297" s="543" t="n"/>
      <c r="U297" s="534" t="n"/>
      <c r="V297" s="516" t="n"/>
      <c r="W297" s="535" t="n"/>
      <c r="X297" s="536" t="n"/>
      <c r="Y297" s="519" t="n"/>
      <c r="Z297" s="683" t="n"/>
      <c r="AA297" s="684" t="n"/>
      <c r="AB297" s="684" t="n"/>
      <c r="AC297" s="684" t="n"/>
      <c r="AD297" s="685" t="n"/>
      <c r="AE297" s="686" t="n"/>
      <c r="AF297" s="684" t="n"/>
      <c r="AG297" s="687" t="n"/>
      <c r="AH297" s="687" t="n"/>
      <c r="AI297" s="684" t="n"/>
      <c r="AJ297" s="686" t="n"/>
      <c r="AK297" s="687" t="n"/>
      <c r="AL297" s="687" t="n"/>
      <c r="AM297" s="687" t="n"/>
      <c r="AN297" s="688" t="n"/>
      <c r="AO297" s="686" t="n"/>
      <c r="AP297" s="689" t="n"/>
      <c r="AQ297" s="689" t="n"/>
      <c r="AR297" s="689" t="n"/>
      <c r="AS297" s="690" t="n"/>
      <c r="AT297" s="691">
        <f>IF(AJ297&lt;&gt;"",(IF(AV297="到貨","",(AJ297-TODAY()))),"")</f>
        <v/>
      </c>
      <c r="AU297" s="692">
        <f>IF(AO297&lt;&gt;"",(AO297-AE297),"")</f>
        <v/>
      </c>
      <c r="AV297" s="86">
        <f>IF(AI297&lt;&gt;"",IF(AS297&lt;&gt;"","到貨","5次發包中"),IF(AH297&lt;&gt;"",IF(AR297&lt;&gt;"","到貨","4次發包中"),IF(AG297&lt;&gt;"",IF(AQ297&lt;&gt;"","到貨","3次發包中"),IF(AF297&lt;&gt;"",IF(AP297&lt;&gt;"","到貨","2次發包中"),IF(AE297&lt;&gt;"",IF(AO297&lt;&gt;"","到貨","發包中"),"")))))</f>
        <v/>
      </c>
      <c r="AW297" s="86">
        <f>IF(OR($AW$6=Y297),$AW$6,"")</f>
        <v/>
      </c>
      <c r="AX297" s="87">
        <f t="array" ref="AX297">IF(OR(AV297:AW297={"到貨","庫存"}),"完成","")</f>
        <v/>
      </c>
      <c r="AY297" s="92">
        <f>E297*$M$1</f>
        <v/>
      </c>
    </row>
    <row r="298" outlineLevel="1" ht="14.25" customHeight="1">
      <c r="A298" s="67" t="n">
        <v>293</v>
      </c>
      <c r="B298" s="526" t="n"/>
      <c r="C298" s="393" t="n"/>
      <c r="D298" s="427" t="n"/>
      <c r="E298" s="526" t="n"/>
      <c r="F298" s="526" t="n"/>
      <c r="G298" s="527" t="n"/>
      <c r="H298" s="393" t="n"/>
      <c r="I298" s="528" t="n"/>
      <c r="J298" s="528" t="n"/>
      <c r="K298" s="528" t="n"/>
      <c r="L298" s="529" t="n"/>
      <c r="M298" s="529" t="n"/>
      <c r="N298" s="530" t="n"/>
      <c r="O298" s="531" t="n"/>
      <c r="P298" s="527" t="n"/>
      <c r="Q298" s="528" t="n"/>
      <c r="R298" s="528" t="n"/>
      <c r="S298" s="528" t="n"/>
      <c r="T298" s="543" t="n"/>
      <c r="U298" s="534" t="n"/>
      <c r="V298" s="516" t="n"/>
      <c r="W298" s="535" t="n"/>
      <c r="X298" s="536" t="n"/>
      <c r="Y298" s="519" t="n"/>
      <c r="Z298" s="683" t="n"/>
      <c r="AA298" s="684" t="n"/>
      <c r="AB298" s="684" t="n"/>
      <c r="AC298" s="684" t="n"/>
      <c r="AD298" s="685" t="n"/>
      <c r="AE298" s="686" t="n"/>
      <c r="AF298" s="684" t="n"/>
      <c r="AG298" s="687" t="n"/>
      <c r="AH298" s="687" t="n"/>
      <c r="AI298" s="684" t="n"/>
      <c r="AJ298" s="686" t="n"/>
      <c r="AK298" s="687" t="n"/>
      <c r="AL298" s="687" t="n"/>
      <c r="AM298" s="687" t="n"/>
      <c r="AN298" s="688" t="n"/>
      <c r="AO298" s="686" t="n"/>
      <c r="AP298" s="689" t="n"/>
      <c r="AQ298" s="689" t="n"/>
      <c r="AR298" s="689" t="n"/>
      <c r="AS298" s="690" t="n"/>
      <c r="AT298" s="691">
        <f>IF(AJ298&lt;&gt;"",(IF(AV298="到貨","",(AJ298-TODAY()))),"")</f>
        <v/>
      </c>
      <c r="AU298" s="692">
        <f>IF(AO298&lt;&gt;"",(AO298-AE298),"")</f>
        <v/>
      </c>
      <c r="AV298" s="86">
        <f>IF(AI298&lt;&gt;"",IF(AS298&lt;&gt;"","到貨","5次發包中"),IF(AH298&lt;&gt;"",IF(AR298&lt;&gt;"","到貨","4次發包中"),IF(AG298&lt;&gt;"",IF(AQ298&lt;&gt;"","到貨","3次發包中"),IF(AF298&lt;&gt;"",IF(AP298&lt;&gt;"","到貨","2次發包中"),IF(AE298&lt;&gt;"",IF(AO298&lt;&gt;"","到貨","發包中"),"")))))</f>
        <v/>
      </c>
      <c r="AW298" s="86">
        <f>IF(OR($AW$6=Y298),$AW$6,"")</f>
        <v/>
      </c>
      <c r="AX298" s="87">
        <f t="array" ref="AX298">IF(OR(AV298:AW298={"到貨","庫存"}),"完成","")</f>
        <v/>
      </c>
      <c r="AY298" s="92">
        <f>E298*$M$1</f>
        <v/>
      </c>
    </row>
    <row r="299" outlineLevel="1" ht="14.25" customHeight="1">
      <c r="A299" s="67" t="n">
        <v>294</v>
      </c>
      <c r="B299" s="526" t="n"/>
      <c r="C299" s="393" t="n"/>
      <c r="D299" s="427" t="n"/>
      <c r="E299" s="526" t="n"/>
      <c r="F299" s="526" t="n"/>
      <c r="G299" s="527" t="n"/>
      <c r="H299" s="393" t="n"/>
      <c r="I299" s="528" t="n"/>
      <c r="J299" s="528" t="n"/>
      <c r="K299" s="528" t="n"/>
      <c r="L299" s="529" t="n"/>
      <c r="M299" s="529" t="n"/>
      <c r="N299" s="530" t="n"/>
      <c r="O299" s="531" t="n"/>
      <c r="P299" s="527" t="n"/>
      <c r="Q299" s="528" t="n"/>
      <c r="R299" s="528" t="n"/>
      <c r="S299" s="528" t="n"/>
      <c r="T299" s="543" t="n"/>
      <c r="U299" s="534" t="n"/>
      <c r="V299" s="516" t="n"/>
      <c r="W299" s="535" t="n"/>
      <c r="X299" s="536" t="n"/>
      <c r="Y299" s="519" t="n"/>
      <c r="Z299" s="683" t="n"/>
      <c r="AA299" s="684" t="n"/>
      <c r="AB299" s="684" t="n"/>
      <c r="AC299" s="684" t="n"/>
      <c r="AD299" s="685" t="n"/>
      <c r="AE299" s="686" t="n"/>
      <c r="AF299" s="684" t="n"/>
      <c r="AG299" s="687" t="n"/>
      <c r="AH299" s="687" t="n"/>
      <c r="AI299" s="684" t="n"/>
      <c r="AJ299" s="686" t="n"/>
      <c r="AK299" s="687" t="n"/>
      <c r="AL299" s="687" t="n"/>
      <c r="AM299" s="687" t="n"/>
      <c r="AN299" s="688" t="n"/>
      <c r="AO299" s="686" t="n"/>
      <c r="AP299" s="689" t="n"/>
      <c r="AQ299" s="689" t="n"/>
      <c r="AR299" s="689" t="n"/>
      <c r="AS299" s="690" t="n"/>
      <c r="AT299" s="691">
        <f>IF(AJ299&lt;&gt;"",(IF(AV299="到貨","",(AJ299-TODAY()))),"")</f>
        <v/>
      </c>
      <c r="AU299" s="692">
        <f>IF(AO299&lt;&gt;"",(AO299-AE299),"")</f>
        <v/>
      </c>
      <c r="AV299" s="86">
        <f>IF(AI299&lt;&gt;"",IF(AS299&lt;&gt;"","到貨","5次發包中"),IF(AH299&lt;&gt;"",IF(AR299&lt;&gt;"","到貨","4次發包中"),IF(AG299&lt;&gt;"",IF(AQ299&lt;&gt;"","到貨","3次發包中"),IF(AF299&lt;&gt;"",IF(AP299&lt;&gt;"","到貨","2次發包中"),IF(AE299&lt;&gt;"",IF(AO299&lt;&gt;"","到貨","發包中"),"")))))</f>
        <v/>
      </c>
      <c r="AW299" s="86">
        <f>IF(OR($AW$6=Y299),$AW$6,"")</f>
        <v/>
      </c>
      <c r="AX299" s="87">
        <f t="array" ref="AX299">IF(OR(AV299:AW299={"到貨","庫存"}),"完成","")</f>
        <v/>
      </c>
      <c r="AY299" s="92">
        <f>E299*$M$1</f>
        <v/>
      </c>
    </row>
    <row r="300" outlineLevel="1" ht="14.25" customHeight="1">
      <c r="A300" s="67" t="n">
        <v>295</v>
      </c>
      <c r="B300" s="526" t="n"/>
      <c r="C300" s="393" t="n"/>
      <c r="D300" s="427" t="n"/>
      <c r="E300" s="526" t="n"/>
      <c r="F300" s="526" t="n"/>
      <c r="G300" s="527" t="n"/>
      <c r="H300" s="393" t="n"/>
      <c r="I300" s="528" t="n"/>
      <c r="J300" s="528" t="n"/>
      <c r="K300" s="528" t="n"/>
      <c r="L300" s="529" t="n"/>
      <c r="M300" s="529" t="n"/>
      <c r="N300" s="530" t="n"/>
      <c r="O300" s="531" t="n"/>
      <c r="P300" s="527" t="n"/>
      <c r="Q300" s="528" t="n"/>
      <c r="R300" s="528" t="n"/>
      <c r="S300" s="528" t="n"/>
      <c r="T300" s="543" t="n"/>
      <c r="U300" s="534" t="n"/>
      <c r="V300" s="516" t="n"/>
      <c r="W300" s="535" t="n"/>
      <c r="X300" s="536" t="n"/>
      <c r="Y300" s="519" t="n"/>
      <c r="Z300" s="683" t="n"/>
      <c r="AA300" s="684" t="n"/>
      <c r="AB300" s="684" t="n"/>
      <c r="AC300" s="684" t="n"/>
      <c r="AD300" s="685" t="n"/>
      <c r="AE300" s="686" t="n"/>
      <c r="AF300" s="684" t="n"/>
      <c r="AG300" s="687" t="n"/>
      <c r="AH300" s="687" t="n"/>
      <c r="AI300" s="684" t="n"/>
      <c r="AJ300" s="686" t="n"/>
      <c r="AK300" s="687" t="n"/>
      <c r="AL300" s="687" t="n"/>
      <c r="AM300" s="687" t="n"/>
      <c r="AN300" s="688" t="n"/>
      <c r="AO300" s="686" t="n"/>
      <c r="AP300" s="689" t="n"/>
      <c r="AQ300" s="689" t="n"/>
      <c r="AR300" s="689" t="n"/>
      <c r="AS300" s="690" t="n"/>
      <c r="AT300" s="691">
        <f>IF(AJ300&lt;&gt;"",(IF(AV300="到貨","",(AJ300-TODAY()))),"")</f>
        <v/>
      </c>
      <c r="AU300" s="692">
        <f>IF(AO300&lt;&gt;"",(AO300-AE300),"")</f>
        <v/>
      </c>
      <c r="AV300" s="86">
        <f>IF(AI300&lt;&gt;"",IF(AS300&lt;&gt;"","到貨","5次發包中"),IF(AH300&lt;&gt;"",IF(AR300&lt;&gt;"","到貨","4次發包中"),IF(AG300&lt;&gt;"",IF(AQ300&lt;&gt;"","到貨","3次發包中"),IF(AF300&lt;&gt;"",IF(AP300&lt;&gt;"","到貨","2次發包中"),IF(AE300&lt;&gt;"",IF(AO300&lt;&gt;"","到貨","發包中"),"")))))</f>
        <v/>
      </c>
      <c r="AW300" s="86">
        <f>IF(OR($AW$6=Y300),$AW$6,"")</f>
        <v/>
      </c>
      <c r="AX300" s="87">
        <f t="array" ref="AX300">IF(OR(AV300:AW300={"到貨","庫存"}),"完成","")</f>
        <v/>
      </c>
      <c r="AY300" s="92">
        <f>E300*$M$1</f>
        <v/>
      </c>
    </row>
    <row r="301" outlineLevel="1" ht="14.25" customHeight="1">
      <c r="A301" s="67" t="n">
        <v>296</v>
      </c>
      <c r="B301" s="526" t="n"/>
      <c r="C301" s="393" t="n"/>
      <c r="D301" s="427" t="n"/>
      <c r="E301" s="526" t="n"/>
      <c r="F301" s="526" t="n"/>
      <c r="G301" s="527" t="n"/>
      <c r="H301" s="393" t="n"/>
      <c r="I301" s="528" t="n"/>
      <c r="J301" s="528" t="n"/>
      <c r="K301" s="528" t="n"/>
      <c r="L301" s="529" t="n"/>
      <c r="M301" s="529" t="n"/>
      <c r="N301" s="530" t="n"/>
      <c r="O301" s="531" t="n"/>
      <c r="P301" s="527" t="n"/>
      <c r="Q301" s="528" t="n"/>
      <c r="R301" s="528" t="n"/>
      <c r="S301" s="528" t="n"/>
      <c r="T301" s="543" t="n"/>
      <c r="U301" s="534" t="n"/>
      <c r="V301" s="516" t="n"/>
      <c r="W301" s="535" t="n"/>
      <c r="X301" s="536" t="n"/>
      <c r="Y301" s="519" t="n"/>
      <c r="Z301" s="683" t="n"/>
      <c r="AA301" s="684" t="n"/>
      <c r="AB301" s="684" t="n"/>
      <c r="AC301" s="684" t="n"/>
      <c r="AD301" s="685" t="n"/>
      <c r="AE301" s="686" t="n"/>
      <c r="AF301" s="684" t="n"/>
      <c r="AG301" s="687" t="n"/>
      <c r="AH301" s="687" t="n"/>
      <c r="AI301" s="684" t="n"/>
      <c r="AJ301" s="686" t="n"/>
      <c r="AK301" s="687" t="n"/>
      <c r="AL301" s="687" t="n"/>
      <c r="AM301" s="687" t="n"/>
      <c r="AN301" s="688" t="n"/>
      <c r="AO301" s="686" t="n"/>
      <c r="AP301" s="689" t="n"/>
      <c r="AQ301" s="689" t="n"/>
      <c r="AR301" s="689" t="n"/>
      <c r="AS301" s="690" t="n"/>
      <c r="AT301" s="691">
        <f>IF(AJ301&lt;&gt;"",(IF(AV301="到貨","",(AJ301-TODAY()))),"")</f>
        <v/>
      </c>
      <c r="AU301" s="692">
        <f>IF(AO301&lt;&gt;"",(AO301-AE301),"")</f>
        <v/>
      </c>
      <c r="AV301" s="86">
        <f>IF(AI301&lt;&gt;"",IF(AS301&lt;&gt;"","到貨","5次發包中"),IF(AH301&lt;&gt;"",IF(AR301&lt;&gt;"","到貨","4次發包中"),IF(AG301&lt;&gt;"",IF(AQ301&lt;&gt;"","到貨","3次發包中"),IF(AF301&lt;&gt;"",IF(AP301&lt;&gt;"","到貨","2次發包中"),IF(AE301&lt;&gt;"",IF(AO301&lt;&gt;"","到貨","發包中"),"")))))</f>
        <v/>
      </c>
      <c r="AW301" s="86">
        <f>IF(OR($AW$6=Y301),$AW$6,"")</f>
        <v/>
      </c>
      <c r="AX301" s="87">
        <f t="array" ref="AX301">IF(OR(AV301:AW301={"到貨","庫存"}),"完成","")</f>
        <v/>
      </c>
      <c r="AY301" s="92">
        <f>E301*$M$1</f>
        <v/>
      </c>
    </row>
    <row r="302" outlineLevel="1" ht="14.25" customHeight="1">
      <c r="A302" s="67" t="n">
        <v>297</v>
      </c>
      <c r="B302" s="526" t="n"/>
      <c r="C302" s="393" t="n"/>
      <c r="D302" s="427" t="n"/>
      <c r="E302" s="526" t="n"/>
      <c r="F302" s="526" t="n"/>
      <c r="G302" s="527" t="n"/>
      <c r="H302" s="393" t="n"/>
      <c r="I302" s="528" t="n"/>
      <c r="J302" s="528" t="n"/>
      <c r="K302" s="528" t="n"/>
      <c r="L302" s="529" t="n"/>
      <c r="M302" s="529" t="n"/>
      <c r="N302" s="530" t="n"/>
      <c r="O302" s="531" t="n"/>
      <c r="P302" s="527" t="n"/>
      <c r="Q302" s="528" t="n"/>
      <c r="R302" s="528" t="n"/>
      <c r="S302" s="528" t="n"/>
      <c r="T302" s="543" t="n"/>
      <c r="U302" s="534" t="n"/>
      <c r="V302" s="516" t="n"/>
      <c r="W302" s="535" t="n"/>
      <c r="X302" s="536" t="n"/>
      <c r="Y302" s="519" t="n"/>
      <c r="Z302" s="683" t="n"/>
      <c r="AA302" s="684" t="n"/>
      <c r="AB302" s="684" t="n"/>
      <c r="AC302" s="684" t="n"/>
      <c r="AD302" s="685" t="n"/>
      <c r="AE302" s="686" t="n"/>
      <c r="AF302" s="684" t="n"/>
      <c r="AG302" s="687" t="n"/>
      <c r="AH302" s="687" t="n"/>
      <c r="AI302" s="684" t="n"/>
      <c r="AJ302" s="686" t="n"/>
      <c r="AK302" s="687" t="n"/>
      <c r="AL302" s="687" t="n"/>
      <c r="AM302" s="687" t="n"/>
      <c r="AN302" s="688" t="n"/>
      <c r="AO302" s="686" t="n"/>
      <c r="AP302" s="689" t="n"/>
      <c r="AQ302" s="689" t="n"/>
      <c r="AR302" s="689" t="n"/>
      <c r="AS302" s="690" t="n"/>
      <c r="AT302" s="691">
        <f>IF(AJ302&lt;&gt;"",(IF(AV302="到貨","",(AJ302-TODAY()))),"")</f>
        <v/>
      </c>
      <c r="AU302" s="692">
        <f>IF(AO302&lt;&gt;"",(AO302-AE302),"")</f>
        <v/>
      </c>
      <c r="AV302" s="86">
        <f>IF(AI302&lt;&gt;"",IF(AS302&lt;&gt;"","到貨","5次發包中"),IF(AH302&lt;&gt;"",IF(AR302&lt;&gt;"","到貨","4次發包中"),IF(AG302&lt;&gt;"",IF(AQ302&lt;&gt;"","到貨","3次發包中"),IF(AF302&lt;&gt;"",IF(AP302&lt;&gt;"","到貨","2次發包中"),IF(AE302&lt;&gt;"",IF(AO302&lt;&gt;"","到貨","發包中"),"")))))</f>
        <v/>
      </c>
      <c r="AW302" s="86">
        <f>IF(OR($AW$6=Y302),$AW$6,"")</f>
        <v/>
      </c>
      <c r="AX302" s="87">
        <f t="array" ref="AX302">IF(OR(AV302:AW302={"到貨","庫存"}),"完成","")</f>
        <v/>
      </c>
      <c r="AY302" s="92">
        <f>E302*$M$1</f>
        <v/>
      </c>
    </row>
    <row r="303" outlineLevel="1" ht="14.25" customHeight="1">
      <c r="A303" s="67" t="n">
        <v>298</v>
      </c>
      <c r="B303" s="526" t="n"/>
      <c r="C303" s="393" t="n"/>
      <c r="D303" s="427" t="n"/>
      <c r="E303" s="526" t="n"/>
      <c r="F303" s="526" t="n"/>
      <c r="G303" s="527" t="n"/>
      <c r="H303" s="393" t="n"/>
      <c r="I303" s="528" t="n"/>
      <c r="J303" s="528" t="n"/>
      <c r="K303" s="528" t="n"/>
      <c r="L303" s="529" t="n"/>
      <c r="M303" s="529" t="n"/>
      <c r="N303" s="530" t="n"/>
      <c r="O303" s="531" t="n"/>
      <c r="P303" s="527" t="n"/>
      <c r="Q303" s="528" t="n"/>
      <c r="R303" s="528" t="n"/>
      <c r="S303" s="528" t="n"/>
      <c r="T303" s="543" t="n"/>
      <c r="U303" s="534" t="n"/>
      <c r="V303" s="516" t="n"/>
      <c r="W303" s="535" t="n"/>
      <c r="X303" s="536" t="n"/>
      <c r="Y303" s="519" t="n"/>
      <c r="Z303" s="683" t="n"/>
      <c r="AA303" s="684" t="n"/>
      <c r="AB303" s="684" t="n"/>
      <c r="AC303" s="684" t="n"/>
      <c r="AD303" s="685" t="n"/>
      <c r="AE303" s="686" t="n"/>
      <c r="AF303" s="684" t="n"/>
      <c r="AG303" s="687" t="n"/>
      <c r="AH303" s="687" t="n"/>
      <c r="AI303" s="684" t="n"/>
      <c r="AJ303" s="686" t="n"/>
      <c r="AK303" s="687" t="n"/>
      <c r="AL303" s="687" t="n"/>
      <c r="AM303" s="687" t="n"/>
      <c r="AN303" s="688" t="n"/>
      <c r="AO303" s="686" t="n"/>
      <c r="AP303" s="689" t="n"/>
      <c r="AQ303" s="689" t="n"/>
      <c r="AR303" s="689" t="n"/>
      <c r="AS303" s="690" t="n"/>
      <c r="AT303" s="691">
        <f>IF(AJ303&lt;&gt;"",(IF(AV303="到貨","",(AJ303-TODAY()))),"")</f>
        <v/>
      </c>
      <c r="AU303" s="692">
        <f>IF(AO303&lt;&gt;"",(AO303-AE303),"")</f>
        <v/>
      </c>
      <c r="AV303" s="86">
        <f>IF(AI303&lt;&gt;"",IF(AS303&lt;&gt;"","到貨","5次發包中"),IF(AH303&lt;&gt;"",IF(AR303&lt;&gt;"","到貨","4次發包中"),IF(AG303&lt;&gt;"",IF(AQ303&lt;&gt;"","到貨","3次發包中"),IF(AF303&lt;&gt;"",IF(AP303&lt;&gt;"","到貨","2次發包中"),IF(AE303&lt;&gt;"",IF(AO303&lt;&gt;"","到貨","發包中"),"")))))</f>
        <v/>
      </c>
      <c r="AW303" s="86">
        <f>IF(OR($AW$6=Y303),$AW$6,"")</f>
        <v/>
      </c>
      <c r="AX303" s="87">
        <f t="array" ref="AX303">IF(OR(AV303:AW303={"到貨","庫存"}),"完成","")</f>
        <v/>
      </c>
      <c r="AY303" s="92">
        <f>E303*$M$1</f>
        <v/>
      </c>
    </row>
    <row r="304" outlineLevel="1" ht="14.25" customHeight="1">
      <c r="A304" s="67" t="n">
        <v>299</v>
      </c>
      <c r="B304" s="526" t="n"/>
      <c r="C304" s="393" t="n"/>
      <c r="D304" s="427" t="n"/>
      <c r="E304" s="526" t="n"/>
      <c r="F304" s="526" t="n"/>
      <c r="G304" s="527" t="n"/>
      <c r="H304" s="393" t="n"/>
      <c r="I304" s="528" t="n"/>
      <c r="J304" s="528" t="n"/>
      <c r="K304" s="528" t="n"/>
      <c r="L304" s="529" t="n"/>
      <c r="M304" s="529" t="n"/>
      <c r="N304" s="530" t="n"/>
      <c r="O304" s="531" t="n"/>
      <c r="P304" s="527" t="n"/>
      <c r="Q304" s="528" t="n"/>
      <c r="R304" s="528" t="n"/>
      <c r="S304" s="528" t="n"/>
      <c r="T304" s="543" t="n"/>
      <c r="U304" s="534" t="n"/>
      <c r="V304" s="516" t="n"/>
      <c r="W304" s="535" t="n"/>
      <c r="X304" s="536" t="n"/>
      <c r="Y304" s="519" t="n"/>
      <c r="Z304" s="683" t="n"/>
      <c r="AA304" s="684" t="n"/>
      <c r="AB304" s="684" t="n"/>
      <c r="AC304" s="684" t="n"/>
      <c r="AD304" s="685" t="n"/>
      <c r="AE304" s="686" t="n"/>
      <c r="AF304" s="684" t="n"/>
      <c r="AG304" s="687" t="n"/>
      <c r="AH304" s="687" t="n"/>
      <c r="AI304" s="684" t="n"/>
      <c r="AJ304" s="686" t="n"/>
      <c r="AK304" s="687" t="n"/>
      <c r="AL304" s="687" t="n"/>
      <c r="AM304" s="687" t="n"/>
      <c r="AN304" s="688" t="n"/>
      <c r="AO304" s="686" t="n"/>
      <c r="AP304" s="689" t="n"/>
      <c r="AQ304" s="689" t="n"/>
      <c r="AR304" s="689" t="n"/>
      <c r="AS304" s="690" t="n"/>
      <c r="AT304" s="691">
        <f>IF(AJ304&lt;&gt;"",(IF(AV304="到貨","",(AJ304-TODAY()))),"")</f>
        <v/>
      </c>
      <c r="AU304" s="692">
        <f>IF(AO304&lt;&gt;"",(AO304-AE304),"")</f>
        <v/>
      </c>
      <c r="AV304" s="86">
        <f>IF(AI304&lt;&gt;"",IF(AS304&lt;&gt;"","到貨","5次發包中"),IF(AH304&lt;&gt;"",IF(AR304&lt;&gt;"","到貨","4次發包中"),IF(AG304&lt;&gt;"",IF(AQ304&lt;&gt;"","到貨","3次發包中"),IF(AF304&lt;&gt;"",IF(AP304&lt;&gt;"","到貨","2次發包中"),IF(AE304&lt;&gt;"",IF(AO304&lt;&gt;"","到貨","發包中"),"")))))</f>
        <v/>
      </c>
      <c r="AW304" s="86">
        <f>IF(OR($AW$6=Y304),$AW$6,"")</f>
        <v/>
      </c>
      <c r="AX304" s="87">
        <f t="array" ref="AX304">IF(OR(AV304:AW304={"到貨","庫存"}),"完成","")</f>
        <v/>
      </c>
      <c r="AY304" s="92">
        <f>E304*$M$1</f>
        <v/>
      </c>
    </row>
    <row r="305" outlineLevel="1" ht="14.25" customHeight="1">
      <c r="A305" s="67" t="n">
        <v>300</v>
      </c>
      <c r="B305" s="526" t="n"/>
      <c r="C305" s="393" t="n"/>
      <c r="D305" s="427" t="n"/>
      <c r="E305" s="526" t="n"/>
      <c r="F305" s="526" t="n"/>
      <c r="G305" s="527" t="n"/>
      <c r="H305" s="393" t="n"/>
      <c r="I305" s="528" t="n"/>
      <c r="J305" s="528" t="n"/>
      <c r="K305" s="528" t="n"/>
      <c r="L305" s="529" t="n"/>
      <c r="M305" s="529" t="n"/>
      <c r="N305" s="530" t="n"/>
      <c r="O305" s="531" t="n"/>
      <c r="P305" s="527" t="n"/>
      <c r="Q305" s="528" t="n"/>
      <c r="R305" s="528" t="n"/>
      <c r="S305" s="528" t="n"/>
      <c r="T305" s="543" t="n"/>
      <c r="U305" s="534" t="n"/>
      <c r="V305" s="516" t="n"/>
      <c r="W305" s="535" t="n"/>
      <c r="X305" s="536" t="n"/>
      <c r="Y305" s="519" t="n"/>
      <c r="Z305" s="683" t="n"/>
      <c r="AA305" s="684" t="n"/>
      <c r="AB305" s="684" t="n"/>
      <c r="AC305" s="684" t="n"/>
      <c r="AD305" s="685" t="n"/>
      <c r="AE305" s="686" t="n"/>
      <c r="AF305" s="684" t="n"/>
      <c r="AG305" s="687" t="n"/>
      <c r="AH305" s="687" t="n"/>
      <c r="AI305" s="684" t="n"/>
      <c r="AJ305" s="686" t="n"/>
      <c r="AK305" s="687" t="n"/>
      <c r="AL305" s="687" t="n"/>
      <c r="AM305" s="687" t="n"/>
      <c r="AN305" s="688" t="n"/>
      <c r="AO305" s="686" t="n"/>
      <c r="AP305" s="689" t="n"/>
      <c r="AQ305" s="689" t="n"/>
      <c r="AR305" s="689" t="n"/>
      <c r="AS305" s="690" t="n"/>
      <c r="AT305" s="691">
        <f>IF(AJ305&lt;&gt;"",(IF(AV305="到貨","",(AJ305-TODAY()))),"")</f>
        <v/>
      </c>
      <c r="AU305" s="692">
        <f>IF(AO305&lt;&gt;"",(AO305-AE305),"")</f>
        <v/>
      </c>
      <c r="AV305" s="86">
        <f>IF(AI305&lt;&gt;"",IF(AS305&lt;&gt;"","到貨","5次發包中"),IF(AH305&lt;&gt;"",IF(AR305&lt;&gt;"","到貨","4次發包中"),IF(AG305&lt;&gt;"",IF(AQ305&lt;&gt;"","到貨","3次發包中"),IF(AF305&lt;&gt;"",IF(AP305&lt;&gt;"","到貨","2次發包中"),IF(AE305&lt;&gt;"",IF(AO305&lt;&gt;"","到貨","發包中"),"")))))</f>
        <v/>
      </c>
      <c r="AW305" s="86">
        <f>IF(OR($AW$6=Y305),$AW$6,"")</f>
        <v/>
      </c>
      <c r="AX305" s="87">
        <f t="array" ref="AX305">IF(OR(AV305:AW305={"到貨","庫存"}),"完成","")</f>
        <v/>
      </c>
      <c r="AY305" s="92">
        <f>E305*$M$1</f>
        <v/>
      </c>
    </row>
    <row r="306" outlineLevel="1" ht="14.25" customHeight="1" thickBot="1">
      <c r="A306" s="67" t="n">
        <v>301</v>
      </c>
      <c r="B306" s="526" t="n"/>
      <c r="C306" s="393" t="n"/>
      <c r="D306" s="427" t="n"/>
      <c r="E306" s="526" t="n"/>
      <c r="F306" s="526" t="n"/>
      <c r="G306" s="527" t="n"/>
      <c r="H306" s="393" t="n"/>
      <c r="I306" s="528" t="n"/>
      <c r="J306" s="528" t="n"/>
      <c r="K306" s="528" t="n"/>
      <c r="L306" s="529" t="n"/>
      <c r="M306" s="529" t="n"/>
      <c r="N306" s="530" t="n"/>
      <c r="O306" s="531" t="n"/>
      <c r="P306" s="527" t="n"/>
      <c r="Q306" s="528" t="n"/>
      <c r="R306" s="528" t="n"/>
      <c r="S306" s="528" t="n"/>
      <c r="T306" s="543" t="n"/>
      <c r="U306" s="534" t="n"/>
      <c r="V306" s="516" t="n"/>
      <c r="W306" s="535" t="n"/>
      <c r="X306" s="536" t="n"/>
      <c r="Y306" s="519" t="n"/>
      <c r="Z306" s="683" t="n"/>
      <c r="AA306" s="684" t="n"/>
      <c r="AB306" s="684" t="n"/>
      <c r="AC306" s="684" t="n"/>
      <c r="AD306" s="685" t="n"/>
      <c r="AE306" s="686" t="n"/>
      <c r="AF306" s="684" t="n"/>
      <c r="AG306" s="687" t="n"/>
      <c r="AH306" s="687" t="n"/>
      <c r="AI306" s="684" t="n"/>
      <c r="AJ306" s="686" t="n"/>
      <c r="AK306" s="687" t="n"/>
      <c r="AL306" s="687" t="n"/>
      <c r="AM306" s="687" t="n"/>
      <c r="AN306" s="688" t="n"/>
      <c r="AO306" s="686" t="n"/>
      <c r="AP306" s="689" t="n"/>
      <c r="AQ306" s="689" t="n"/>
      <c r="AR306" s="689" t="n"/>
      <c r="AS306" s="690" t="n"/>
      <c r="AT306" s="691">
        <f>IF(AJ306&lt;&gt;"",(IF(AV306="到貨","",(AJ306-TODAY()))),"")</f>
        <v/>
      </c>
      <c r="AU306" s="692">
        <f>IF(AO306&lt;&gt;"",(AO306-AE306),"")</f>
        <v/>
      </c>
      <c r="AV306" s="86">
        <f>IF(AI306&lt;&gt;"",IF(AS306&lt;&gt;"","到貨","5次發包中"),IF(AH306&lt;&gt;"",IF(AR306&lt;&gt;"","到貨","4次發包中"),IF(AG306&lt;&gt;"",IF(AQ306&lt;&gt;"","到貨","3次發包中"),IF(AF306&lt;&gt;"",IF(AP306&lt;&gt;"","到貨","2次發包中"),IF(AE306&lt;&gt;"",IF(AO306&lt;&gt;"","到貨","發包中"),"")))))</f>
        <v/>
      </c>
      <c r="AW306" s="86">
        <f>IF(OR($AW$6=Y306),$AW$6,"")</f>
        <v/>
      </c>
      <c r="AX306" s="87">
        <f t="array" ref="AX306">IF(OR(AV306:AW306={"到貨","庫存"}),"完成","")</f>
        <v/>
      </c>
      <c r="AY306" s="92">
        <f>E306*$M$1</f>
        <v/>
      </c>
    </row>
    <row r="307" outlineLevel="1" ht="15.75" customHeight="1" thickBot="1" thickTop="1">
      <c r="A307" s="43" t="n">
        <v>302</v>
      </c>
      <c r="B307" s="112">
        <f>COUNT(B6:B307)</f>
        <v/>
      </c>
      <c r="C307" s="394" t="n"/>
      <c r="D307" s="430" t="n"/>
      <c r="E307" s="112" t="n"/>
      <c r="F307" s="112" t="n"/>
      <c r="G307" s="113" t="n"/>
      <c r="H307" s="395" t="n"/>
      <c r="I307" s="114" t="n"/>
      <c r="J307" s="114" t="n"/>
      <c r="K307" s="114" t="n"/>
      <c r="L307" s="115" t="n"/>
      <c r="M307" s="115" t="n"/>
      <c r="N307" s="116" t="n"/>
      <c r="O307" s="117" t="n"/>
      <c r="P307" s="118" t="n"/>
      <c r="Q307" s="114" t="n"/>
      <c r="R307" s="114" t="n"/>
      <c r="S307" s="114" t="n"/>
      <c r="T307" s="119" t="n"/>
      <c r="U307" s="120" t="n"/>
      <c r="V307" s="436" t="n"/>
      <c r="W307" s="121" t="n"/>
      <c r="X307" s="122" t="n"/>
      <c r="Y307" s="123" t="n"/>
      <c r="Z307" s="714" t="n"/>
      <c r="AA307" s="715" t="n"/>
      <c r="AB307" s="715" t="n"/>
      <c r="AC307" s="715" t="n"/>
      <c r="AD307" s="716" t="n"/>
      <c r="AE307" s="717" t="n"/>
      <c r="AF307" s="718" t="n"/>
      <c r="AG307" s="719" t="n"/>
      <c r="AH307" s="719" t="n"/>
      <c r="AI307" s="720" t="n"/>
      <c r="AJ307" s="721" t="n"/>
      <c r="AK307" s="719" t="n"/>
      <c r="AL307" s="719" t="n"/>
      <c r="AM307" s="719" t="n"/>
      <c r="AN307" s="722" t="n"/>
      <c r="AO307" s="723" t="n"/>
      <c r="AP307" s="719" t="n"/>
      <c r="AQ307" s="719" t="n"/>
      <c r="AR307" s="719" t="n"/>
      <c r="AS307" s="722" t="n"/>
      <c r="AT307" s="724">
        <f>IF(AJ307&lt;&gt;"",(IF(AV307="到貨","",(AJ307-TODAY()))),"")</f>
        <v/>
      </c>
      <c r="AU307" s="725">
        <f>IF(AO307&lt;&gt;"",(AO307-AE307),"")</f>
        <v/>
      </c>
      <c r="AV307" s="132">
        <f>IF(AI307&lt;&gt;"",IF(AS307&lt;&gt;"","到貨","5次發包中"),IF(AH307&lt;&gt;"",IF(AR307&lt;&gt;"","到貨","4次發包中"),IF(AG307&lt;&gt;"",IF(AQ307&lt;&gt;"","到貨","3次發包中"),IF(AF307&lt;&gt;"",IF(AP307&lt;&gt;"","到貨","2次發包中"),IF(AE307&lt;&gt;"",IF(AO307&lt;&gt;"","到貨","發包中"),"")))))</f>
        <v/>
      </c>
      <c r="AW307" s="132">
        <f>IF(OR($AW$6=Y307),$AW$6,"")</f>
        <v/>
      </c>
      <c r="AX307" s="133">
        <f t="array" ref="AX307">IF(OR(AV307:AW307={"到貨","庫存"}),"完成","")</f>
        <v/>
      </c>
      <c r="AY307" s="92">
        <f>E307*$M$1</f>
        <v/>
      </c>
    </row>
    <row r="308" outlineLevel="1" ht="15.75" customHeight="1" thickBot="1" thickTop="1">
      <c r="A308" s="43" t="n">
        <v>303</v>
      </c>
      <c r="B308" s="44" t="n"/>
      <c r="C308" s="396" t="n"/>
      <c r="D308" s="429" t="n"/>
      <c r="E308" s="44" t="n"/>
      <c r="F308" s="44" t="n"/>
      <c r="G308" s="141" t="n"/>
      <c r="H308" s="395" t="n"/>
      <c r="I308" s="142" t="n"/>
      <c r="J308" s="142" t="n"/>
      <c r="K308" s="142" t="n"/>
      <c r="L308" s="143" t="n"/>
      <c r="M308" s="143" t="n"/>
      <c r="N308" s="144" t="n"/>
      <c r="O308" s="145" t="n"/>
      <c r="P308" s="118" t="n"/>
      <c r="Q308" s="142" t="n"/>
      <c r="R308" s="142" t="n"/>
      <c r="S308" s="142" t="n"/>
      <c r="T308" s="146" t="n"/>
      <c r="U308" s="147" t="n"/>
      <c r="V308" s="437" t="n"/>
      <c r="W308" s="148" t="n"/>
      <c r="X308" s="149" t="n"/>
      <c r="Y308" s="150" t="n"/>
      <c r="Z308" s="726" t="n"/>
      <c r="AA308" s="727" t="n"/>
      <c r="AB308" s="727" t="n"/>
      <c r="AC308" s="727" t="n"/>
      <c r="AD308" s="728" t="n"/>
      <c r="AE308" s="717" t="n"/>
      <c r="AF308" s="718" t="n"/>
      <c r="AG308" s="729" t="n"/>
      <c r="AH308" s="729" t="n"/>
      <c r="AI308" s="720" t="n"/>
      <c r="AJ308" s="730" t="n"/>
      <c r="AK308" s="729" t="n"/>
      <c r="AL308" s="729" t="n"/>
      <c r="AM308" s="729" t="n"/>
      <c r="AN308" s="731" t="n"/>
      <c r="AO308" s="723" t="n"/>
      <c r="AP308" s="729" t="n"/>
      <c r="AQ308" s="729" t="n"/>
      <c r="AR308" s="729" t="n"/>
      <c r="AS308" s="731" t="n"/>
      <c r="AT308" s="732">
        <f>IF(AJ308&lt;&gt;"",(IF(AV308="到貨","",(AJ308-TODAY()))),"")</f>
        <v/>
      </c>
      <c r="AU308" s="733">
        <f>IF(AO308&lt;&gt;"",(AO308-AE308),"")</f>
        <v/>
      </c>
      <c r="AV308" s="159">
        <f>IF(AI308&lt;&gt;"",IF(AS308&lt;&gt;"","到貨","5次發包中"),IF(AH308&lt;&gt;"",IF(AR308&lt;&gt;"","到貨","4次發包中"),IF(AG308&lt;&gt;"",IF(AQ308&lt;&gt;"","到貨","3次發包中"),IF(AF308&lt;&gt;"",IF(AP308&lt;&gt;"","到貨","2次發包中"),IF(AE308&lt;&gt;"",IF(AO308&lt;&gt;"","到貨","發包中"),"")))))</f>
        <v/>
      </c>
      <c r="AW308" s="159">
        <f>IF(OR($AW$6=Y308),$AW$6,"")</f>
        <v/>
      </c>
      <c r="AX308" s="160">
        <f t="array" ref="AX308">IF(OR(AV308:AW308={"到貨","庫存"}),"完成","")</f>
        <v/>
      </c>
      <c r="AY308" s="92">
        <f>E308*$M$1</f>
        <v/>
      </c>
    </row>
    <row r="309" outlineLevel="1" ht="15" customHeight="1" thickTop="1">
      <c r="A309" s="43" t="n">
        <v>304</v>
      </c>
      <c r="B309" s="168" t="n"/>
      <c r="C309" s="395" t="n"/>
      <c r="D309" s="431" t="n"/>
      <c r="E309" s="168" t="n"/>
      <c r="F309" s="168" t="n"/>
      <c r="G309" s="169" t="n"/>
      <c r="H309" s="395" t="n"/>
      <c r="I309" s="170" t="n"/>
      <c r="J309" s="170" t="n"/>
      <c r="K309" s="170" t="n"/>
      <c r="L309" s="171" t="n"/>
      <c r="M309" s="171" t="n"/>
      <c r="N309" s="172" t="n"/>
      <c r="O309" s="173" t="n"/>
      <c r="P309" s="118" t="n"/>
      <c r="Q309" s="170" t="n"/>
      <c r="R309" s="170" t="n"/>
      <c r="S309" s="170" t="n"/>
      <c r="T309" s="174" t="n"/>
      <c r="U309" s="175" t="n"/>
      <c r="V309" s="438" t="n"/>
      <c r="W309" s="177" t="n"/>
      <c r="X309" s="178" t="n"/>
      <c r="Y309" s="179" t="n"/>
      <c r="Z309" s="734" t="n"/>
      <c r="AA309" s="717" t="n"/>
      <c r="AB309" s="717" t="n"/>
      <c r="AC309" s="717" t="n"/>
      <c r="AD309" s="735" t="n"/>
      <c r="AE309" s="717" t="n"/>
      <c r="AF309" s="718" t="n"/>
      <c r="AG309" s="718" t="n"/>
      <c r="AH309" s="718" t="n"/>
      <c r="AI309" s="720" t="n"/>
      <c r="AJ309" s="723" t="n"/>
      <c r="AK309" s="718" t="n"/>
      <c r="AL309" s="718" t="n"/>
      <c r="AM309" s="718" t="n"/>
      <c r="AN309" s="736" t="n"/>
      <c r="AO309" s="723" t="n"/>
      <c r="AP309" s="718" t="n"/>
      <c r="AQ309" s="718" t="n"/>
      <c r="AR309" s="718" t="n"/>
      <c r="AS309" s="736" t="n"/>
      <c r="AT309" s="737">
        <f>IF(AJ309&lt;&gt;"",(IF(AV309="到貨","",(AJ309-TODAY()))),"")</f>
        <v/>
      </c>
      <c r="AU309" s="738">
        <f>IF(AO309&lt;&gt;"",(AO309-AE309),"")</f>
        <v/>
      </c>
      <c r="AV309" s="189">
        <f>IF(AI309&lt;&gt;"",IF(AS309&lt;&gt;"","到貨","5次發包中"),IF(AH309&lt;&gt;"",IF(AR309&lt;&gt;"","到貨","4次發包中"),IF(AG309&lt;&gt;"",IF(AQ309&lt;&gt;"","到貨","3次發包中"),IF(AF309&lt;&gt;"",IF(AP309&lt;&gt;"","到貨","2次發包中"),IF(AE309&lt;&gt;"",IF(AO309&lt;&gt;"","到貨","發包中"),"")))))</f>
        <v/>
      </c>
      <c r="AW309" s="189">
        <f>IF(OR($AW$6=Y309),$AW$6,"")</f>
        <v/>
      </c>
      <c r="AX309" s="190">
        <f t="array" ref="AX309">IF(OR(AV309:AW309={"到貨","庫存"}),"完成","")</f>
        <v/>
      </c>
      <c r="AY309" s="92">
        <f>E309*$M$1</f>
        <v/>
      </c>
    </row>
    <row r="310" ht="14.25" customHeight="1">
      <c r="A310" s="458" t="n">
        <v>305</v>
      </c>
      <c r="B310" s="459" t="n"/>
      <c r="C310" s="451" t="n"/>
      <c r="D310" s="452" t="n"/>
      <c r="E310" s="460" t="n"/>
      <c r="F310" s="460" t="n"/>
      <c r="G310" s="461" t="inlineStr">
        <is>
          <t>至頁首(link)</t>
        </is>
      </c>
      <c r="H310" s="451" t="n"/>
      <c r="I310" s="462" t="inlineStr">
        <is>
          <t>至機械材料表．第1項次(link)</t>
        </is>
      </c>
      <c r="J310" s="463" t="n"/>
      <c r="K310" s="463" t="n"/>
      <c r="L310" s="464" t="n"/>
      <c r="M310" s="464" t="n"/>
      <c r="N310" s="464" t="n"/>
      <c r="O310" s="173" t="n"/>
      <c r="P310" s="455" t="n"/>
      <c r="Q310" s="454" t="n"/>
      <c r="R310" s="454" t="n"/>
      <c r="S310" s="454" t="n"/>
      <c r="T310" s="454" t="n"/>
      <c r="U310" s="456" t="n"/>
      <c r="V310" s="457" t="n"/>
      <c r="W310" s="454" t="n"/>
      <c r="X310" s="465" t="n"/>
      <c r="Y310" s="179" t="n"/>
      <c r="Z310" s="734" t="n"/>
      <c r="AA310" s="717" t="n"/>
      <c r="AB310" s="717" t="n"/>
      <c r="AC310" s="717" t="n"/>
      <c r="AD310" s="735" t="n"/>
      <c r="AE310" s="717" t="n"/>
      <c r="AF310" s="718" t="n"/>
      <c r="AG310" s="718" t="n"/>
      <c r="AH310" s="718" t="n"/>
      <c r="AI310" s="720" t="n"/>
      <c r="AJ310" s="723" t="n"/>
      <c r="AK310" s="718" t="n"/>
      <c r="AL310" s="718" t="n"/>
      <c r="AM310" s="718" t="n"/>
      <c r="AN310" s="736" t="n"/>
      <c r="AO310" s="723" t="n"/>
      <c r="AP310" s="718" t="n"/>
      <c r="AQ310" s="718" t="n"/>
      <c r="AR310" s="718" t="n"/>
      <c r="AS310" s="736" t="n"/>
      <c r="AT310" s="737">
        <f>IF(AJ310&lt;&gt;"",(IF(AV310="到貨","",(AJ310-TODAY()))),"")</f>
        <v/>
      </c>
      <c r="AU310" s="738">
        <f>IF(AO310&lt;&gt;"",(AO310-AE310),"")</f>
        <v/>
      </c>
      <c r="AV310" s="189">
        <f>IF(AI310&lt;&gt;"",IF(AS310&lt;&gt;"","到貨","5次發包中"),IF(AH310&lt;&gt;"",IF(AR310&lt;&gt;"","到貨","4次發包中"),IF(AG310&lt;&gt;"",IF(AQ310&lt;&gt;"","到貨","3次發包中"),IF(AF310&lt;&gt;"",IF(AP310&lt;&gt;"","到貨","2次發包中"),IF(AE310&lt;&gt;"",IF(AO310&lt;&gt;"","到貨","發包中"),"")))))</f>
        <v/>
      </c>
      <c r="AW310" s="189">
        <f>IF(OR($AW$6=Y310),$AW$6,"")</f>
        <v/>
      </c>
      <c r="AX310" s="190">
        <f t="array" ref="AX310">IF(OR(AV310:AW310={"到貨","庫存"}),"完成","")</f>
        <v/>
      </c>
      <c r="AY310" s="92">
        <f>E310*$M$1</f>
        <v/>
      </c>
    </row>
    <row r="311" ht="20.25" customHeight="1" thickBot="1">
      <c r="A311" s="458" t="n">
        <v>306</v>
      </c>
      <c r="B311" s="459" t="n"/>
      <c r="C311" s="451" t="n"/>
      <c r="D311" s="452" t="n"/>
      <c r="E311" s="423" t="n"/>
      <c r="F311" s="423" t="n"/>
      <c r="G311" s="424" t="inlineStr">
        <is>
          <t>Ⓞ電機材料表：</t>
        </is>
      </c>
      <c r="H311" s="451" t="n"/>
      <c r="I311" s="453" t="inlineStr">
        <is>
          <t>★至電機材料表頁尾．第505項次(link)</t>
        </is>
      </c>
      <c r="J311" s="454" t="n"/>
      <c r="K311" s="454" t="n"/>
      <c r="L311" s="173" t="n"/>
      <c r="M311" s="173" t="n"/>
      <c r="N311" s="173" t="n"/>
      <c r="O311" s="173" t="n"/>
      <c r="P311" s="455" t="n"/>
      <c r="Q311" s="454" t="n"/>
      <c r="R311" s="454" t="n"/>
      <c r="S311" s="454" t="n"/>
      <c r="T311" s="454" t="n"/>
      <c r="U311" s="456" t="n"/>
      <c r="V311" s="457" t="n"/>
      <c r="W311" s="454" t="n"/>
      <c r="X311" s="454" t="n"/>
      <c r="Y311" s="179" t="n"/>
      <c r="Z311" s="734" t="n"/>
      <c r="AA311" s="717" t="n"/>
      <c r="AB311" s="717" t="n"/>
      <c r="AC311" s="717" t="n"/>
      <c r="AD311" s="735" t="n"/>
      <c r="AE311" s="717" t="n"/>
      <c r="AF311" s="718" t="n"/>
      <c r="AG311" s="718" t="n"/>
      <c r="AH311" s="718" t="n"/>
      <c r="AI311" s="720" t="n"/>
      <c r="AJ311" s="723" t="n"/>
      <c r="AK311" s="718" t="n"/>
      <c r="AL311" s="718" t="n"/>
      <c r="AM311" s="718" t="n"/>
      <c r="AN311" s="736" t="n"/>
      <c r="AO311" s="723" t="n"/>
      <c r="AP311" s="718" t="n"/>
      <c r="AQ311" s="718" t="n"/>
      <c r="AR311" s="718" t="n"/>
      <c r="AS311" s="736" t="n"/>
      <c r="AT311" s="737">
        <f>IF(AJ311&lt;&gt;"",(IF(AV311="到貨","",(AJ311-TODAY()))),"")</f>
        <v/>
      </c>
      <c r="AU311" s="738">
        <f>IF(AO311&lt;&gt;"",(AO311-AE311),"")</f>
        <v/>
      </c>
      <c r="AV311" s="189">
        <f>IF(AI311&lt;&gt;"",IF(AS311&lt;&gt;"","到貨","5次發包中"),IF(AH311&lt;&gt;"",IF(AR311&lt;&gt;"","到貨","4次發包中"),IF(AG311&lt;&gt;"",IF(AQ311&lt;&gt;"","到貨","3次發包中"),IF(AF311&lt;&gt;"",IF(AP311&lt;&gt;"","到貨","2次發包中"),IF(AE311&lt;&gt;"",IF(AO311&lt;&gt;"","到貨","發包中"),"")))))</f>
        <v/>
      </c>
      <c r="AW311" s="189">
        <f>IF(OR($AW$6=Y311),$AW$6,"")</f>
        <v/>
      </c>
      <c r="AX311" s="190">
        <f t="array" ref="AX311">IF(OR(AV311:AW311={"到貨","庫存"}),"完成","")</f>
        <v/>
      </c>
      <c r="AY311" s="92">
        <f>E311*$M$1</f>
        <v/>
      </c>
    </row>
    <row r="312" outlineLevel="1" ht="14.25" customHeight="1" thickTop="1">
      <c r="A312" s="67" t="n">
        <v>301</v>
      </c>
      <c r="B312" s="526" t="n"/>
      <c r="C312" s="393" t="n"/>
      <c r="D312" s="427" t="n"/>
      <c r="E312" s="526" t="n"/>
      <c r="F312" s="526" t="n"/>
      <c r="G312" s="527" t="n"/>
      <c r="H312" s="393" t="n"/>
      <c r="I312" s="528" t="n"/>
      <c r="J312" s="528" t="n"/>
      <c r="K312" s="528" t="n"/>
      <c r="L312" s="529" t="n"/>
      <c r="M312" s="529" t="n"/>
      <c r="N312" s="530" t="n"/>
      <c r="O312" s="531" t="n"/>
      <c r="P312" s="527" t="n"/>
      <c r="Q312" s="528" t="n"/>
      <c r="R312" s="528" t="n"/>
      <c r="S312" s="528" t="n"/>
      <c r="T312" s="543" t="n"/>
      <c r="U312" s="534" t="n"/>
      <c r="V312" s="516" t="n"/>
      <c r="W312" s="535" t="n"/>
      <c r="X312" s="536" t="n"/>
      <c r="Y312" s="519" t="n"/>
      <c r="Z312" s="683" t="n"/>
      <c r="AA312" s="684" t="n"/>
      <c r="AB312" s="684" t="n"/>
      <c r="AC312" s="684" t="n"/>
      <c r="AD312" s="685" t="n"/>
      <c r="AE312" s="686" t="n"/>
      <c r="AF312" s="684" t="n"/>
      <c r="AG312" s="687" t="n"/>
      <c r="AH312" s="687" t="n"/>
      <c r="AI312" s="684" t="n"/>
      <c r="AJ312" s="686" t="n"/>
      <c r="AK312" s="687" t="n"/>
      <c r="AL312" s="687" t="n"/>
      <c r="AM312" s="687" t="n"/>
      <c r="AN312" s="688" t="n"/>
      <c r="AO312" s="686" t="n"/>
      <c r="AP312" s="689" t="n"/>
      <c r="AQ312" s="689" t="n"/>
      <c r="AR312" s="689" t="n"/>
      <c r="AS312" s="690" t="n"/>
      <c r="AT312" s="691">
        <f>IF(AJ312&lt;&gt;"",(IF(AV312="到貨","",(AJ312-TODAY()))),"")</f>
        <v/>
      </c>
      <c r="AU312" s="692">
        <f>IF(AO312&lt;&gt;"",(AO312-AE312),"")</f>
        <v/>
      </c>
      <c r="AV312" s="86">
        <f>IF(AI312&lt;&gt;"",IF(AS312&lt;&gt;"","到貨","5次發包中"),IF(AH312&lt;&gt;"",IF(AR312&lt;&gt;"","到貨","4次發包中"),IF(AG312&lt;&gt;"",IF(AQ312&lt;&gt;"","到貨","3次發包中"),IF(AF312&lt;&gt;"",IF(AP312&lt;&gt;"","到貨","2次發包中"),IF(AE312&lt;&gt;"",IF(AO312&lt;&gt;"","到貨","發包中"),"")))))</f>
        <v/>
      </c>
      <c r="AW312" s="86">
        <f>IF(OR($AW$6=Y312),$AW$6,"")</f>
        <v/>
      </c>
      <c r="AX312" s="87">
        <f t="array" ref="AX312">IF(OR(AV312:AW312={"到貨","庫存"}),"完成","")</f>
        <v/>
      </c>
      <c r="AY312" s="92">
        <f>E312*$M$1</f>
        <v/>
      </c>
    </row>
    <row r="313" outlineLevel="1" ht="14.25" customHeight="1">
      <c r="A313" s="67" t="n">
        <v>301</v>
      </c>
      <c r="B313" s="526" t="n"/>
      <c r="C313" s="393" t="n"/>
      <c r="D313" s="427" t="n"/>
      <c r="E313" s="526" t="n"/>
      <c r="F313" s="526" t="n"/>
      <c r="G313" s="527" t="n"/>
      <c r="H313" s="393" t="n"/>
      <c r="I313" s="528" t="n"/>
      <c r="J313" s="528" t="n"/>
      <c r="K313" s="528" t="n"/>
      <c r="L313" s="529" t="n"/>
      <c r="M313" s="529" t="n"/>
      <c r="N313" s="530" t="n"/>
      <c r="O313" s="531" t="n"/>
      <c r="P313" s="527" t="n"/>
      <c r="Q313" s="528" t="n"/>
      <c r="R313" s="528" t="n"/>
      <c r="S313" s="528" t="n"/>
      <c r="T313" s="543" t="n"/>
      <c r="U313" s="534" t="n"/>
      <c r="V313" s="516" t="n"/>
      <c r="W313" s="535" t="n"/>
      <c r="X313" s="536" t="n"/>
      <c r="Y313" s="519" t="n"/>
      <c r="Z313" s="683" t="n"/>
      <c r="AA313" s="684" t="n"/>
      <c r="AB313" s="684" t="n"/>
      <c r="AC313" s="684" t="n"/>
      <c r="AD313" s="685" t="n"/>
      <c r="AE313" s="686" t="n"/>
      <c r="AF313" s="684" t="n"/>
      <c r="AG313" s="687" t="n"/>
      <c r="AH313" s="687" t="n"/>
      <c r="AI313" s="684" t="n"/>
      <c r="AJ313" s="686" t="n"/>
      <c r="AK313" s="687" t="n"/>
      <c r="AL313" s="687" t="n"/>
      <c r="AM313" s="687" t="n"/>
      <c r="AN313" s="688" t="n"/>
      <c r="AO313" s="686" t="n"/>
      <c r="AP313" s="689" t="n"/>
      <c r="AQ313" s="689" t="n"/>
      <c r="AR313" s="689" t="n"/>
      <c r="AS313" s="690" t="n"/>
      <c r="AT313" s="691">
        <f>IF(AJ313&lt;&gt;"",(IF(AV313="到貨","",(AJ313-TODAY()))),"")</f>
        <v/>
      </c>
      <c r="AU313" s="692">
        <f>IF(AO313&lt;&gt;"",(AO313-AE313),"")</f>
        <v/>
      </c>
      <c r="AV313" s="86">
        <f>IF(AI313&lt;&gt;"",IF(AS313&lt;&gt;"","到貨","5次發包中"),IF(AH313&lt;&gt;"",IF(AR313&lt;&gt;"","到貨","4次發包中"),IF(AG313&lt;&gt;"",IF(AQ313&lt;&gt;"","到貨","3次發包中"),IF(AF313&lt;&gt;"",IF(AP313&lt;&gt;"","到貨","2次發包中"),IF(AE313&lt;&gt;"",IF(AO313&lt;&gt;"","到貨","發包中"),"")))))</f>
        <v/>
      </c>
      <c r="AW313" s="86">
        <f>IF(OR($AW$6=Y313),$AW$6,"")</f>
        <v/>
      </c>
      <c r="AX313" s="87">
        <f t="array" ref="AX313">IF(OR(AV313:AW313={"到貨","庫存"}),"完成","")</f>
        <v/>
      </c>
      <c r="AY313" s="92">
        <f>E313*$M$1</f>
        <v/>
      </c>
    </row>
    <row r="314" outlineLevel="1" ht="14.25" customHeight="1">
      <c r="A314" s="67" t="n">
        <v>301</v>
      </c>
      <c r="B314" s="526" t="n"/>
      <c r="C314" s="393" t="n"/>
      <c r="D314" s="427" t="n"/>
      <c r="E314" s="526" t="n"/>
      <c r="F314" s="526" t="n"/>
      <c r="G314" s="527" t="n"/>
      <c r="H314" s="393" t="n"/>
      <c r="I314" s="528" t="n"/>
      <c r="J314" s="528" t="n"/>
      <c r="K314" s="528" t="n"/>
      <c r="L314" s="529" t="n"/>
      <c r="M314" s="529" t="n"/>
      <c r="N314" s="530" t="n"/>
      <c r="O314" s="531" t="n"/>
      <c r="P314" s="527" t="n"/>
      <c r="Q314" s="528" t="n"/>
      <c r="R314" s="528" t="n"/>
      <c r="S314" s="528" t="n"/>
      <c r="T314" s="543" t="n"/>
      <c r="U314" s="534" t="n"/>
      <c r="V314" s="516" t="n"/>
      <c r="W314" s="535" t="n"/>
      <c r="X314" s="536" t="n"/>
      <c r="Y314" s="519" t="n"/>
      <c r="Z314" s="683" t="n"/>
      <c r="AA314" s="684" t="n"/>
      <c r="AB314" s="684" t="n"/>
      <c r="AC314" s="684" t="n"/>
      <c r="AD314" s="685" t="n"/>
      <c r="AE314" s="686" t="n"/>
      <c r="AF314" s="684" t="n"/>
      <c r="AG314" s="687" t="n"/>
      <c r="AH314" s="687" t="n"/>
      <c r="AI314" s="684" t="n"/>
      <c r="AJ314" s="686" t="n"/>
      <c r="AK314" s="687" t="n"/>
      <c r="AL314" s="687" t="n"/>
      <c r="AM314" s="687" t="n"/>
      <c r="AN314" s="688" t="n"/>
      <c r="AO314" s="686" t="n"/>
      <c r="AP314" s="689" t="n"/>
      <c r="AQ314" s="689" t="n"/>
      <c r="AR314" s="689" t="n"/>
      <c r="AS314" s="690" t="n"/>
      <c r="AT314" s="691">
        <f>IF(AJ314&lt;&gt;"",(IF(AV314="到貨","",(AJ314-TODAY()))),"")</f>
        <v/>
      </c>
      <c r="AU314" s="692">
        <f>IF(AO314&lt;&gt;"",(AO314-AE314),"")</f>
        <v/>
      </c>
      <c r="AV314" s="86">
        <f>IF(AI314&lt;&gt;"",IF(AS314&lt;&gt;"","到貨","5次發包中"),IF(AH314&lt;&gt;"",IF(AR314&lt;&gt;"","到貨","4次發包中"),IF(AG314&lt;&gt;"",IF(AQ314&lt;&gt;"","到貨","3次發包中"),IF(AF314&lt;&gt;"",IF(AP314&lt;&gt;"","到貨","2次發包中"),IF(AE314&lt;&gt;"",IF(AO314&lt;&gt;"","到貨","發包中"),"")))))</f>
        <v/>
      </c>
      <c r="AW314" s="86">
        <f>IF(OR($AW$6=Y314),$AW$6,"")</f>
        <v/>
      </c>
      <c r="AX314" s="87">
        <f t="array" ref="AX314">IF(OR(AV314:AW314={"到貨","庫存"}),"完成","")</f>
        <v/>
      </c>
      <c r="AY314" s="92">
        <f>E314*$M$1</f>
        <v/>
      </c>
    </row>
    <row r="315" outlineLevel="1" ht="14.25" customHeight="1">
      <c r="A315" s="67" t="n">
        <v>301</v>
      </c>
      <c r="B315" s="526" t="n"/>
      <c r="C315" s="393" t="n"/>
      <c r="D315" s="427" t="n"/>
      <c r="E315" s="526" t="n"/>
      <c r="F315" s="526" t="n"/>
      <c r="G315" s="527" t="n"/>
      <c r="H315" s="393" t="n"/>
      <c r="I315" s="528" t="n"/>
      <c r="J315" s="528" t="n"/>
      <c r="K315" s="528" t="n"/>
      <c r="L315" s="529" t="n"/>
      <c r="M315" s="529" t="n"/>
      <c r="N315" s="530" t="n"/>
      <c r="O315" s="531" t="n"/>
      <c r="P315" s="527" t="n"/>
      <c r="Q315" s="528" t="n"/>
      <c r="R315" s="528" t="n"/>
      <c r="S315" s="528" t="n"/>
      <c r="T315" s="543" t="n"/>
      <c r="U315" s="534" t="n"/>
      <c r="V315" s="516" t="n"/>
      <c r="W315" s="535" t="n"/>
      <c r="X315" s="536" t="n"/>
      <c r="Y315" s="519" t="n"/>
      <c r="Z315" s="683" t="n"/>
      <c r="AA315" s="684" t="n"/>
      <c r="AB315" s="684" t="n"/>
      <c r="AC315" s="684" t="n"/>
      <c r="AD315" s="685" t="n"/>
      <c r="AE315" s="686" t="n"/>
      <c r="AF315" s="684" t="n"/>
      <c r="AG315" s="687" t="n"/>
      <c r="AH315" s="687" t="n"/>
      <c r="AI315" s="684" t="n"/>
      <c r="AJ315" s="686" t="n"/>
      <c r="AK315" s="687" t="n"/>
      <c r="AL315" s="687" t="n"/>
      <c r="AM315" s="687" t="n"/>
      <c r="AN315" s="688" t="n"/>
      <c r="AO315" s="686" t="n"/>
      <c r="AP315" s="689" t="n"/>
      <c r="AQ315" s="689" t="n"/>
      <c r="AR315" s="689" t="n"/>
      <c r="AS315" s="690" t="n"/>
      <c r="AT315" s="691">
        <f>IF(AJ315&lt;&gt;"",(IF(AV315="到貨","",(AJ315-TODAY()))),"")</f>
        <v/>
      </c>
      <c r="AU315" s="692">
        <f>IF(AO315&lt;&gt;"",(AO315-AE315),"")</f>
        <v/>
      </c>
      <c r="AV315" s="86">
        <f>IF(AI315&lt;&gt;"",IF(AS315&lt;&gt;"","到貨","5次發包中"),IF(AH315&lt;&gt;"",IF(AR315&lt;&gt;"","到貨","4次發包中"),IF(AG315&lt;&gt;"",IF(AQ315&lt;&gt;"","到貨","3次發包中"),IF(AF315&lt;&gt;"",IF(AP315&lt;&gt;"","到貨","2次發包中"),IF(AE315&lt;&gt;"",IF(AO315&lt;&gt;"","到貨","發包中"),"")))))</f>
        <v/>
      </c>
      <c r="AW315" s="86">
        <f>IF(OR($AW$6=Y315),$AW$6,"")</f>
        <v/>
      </c>
      <c r="AX315" s="87">
        <f t="array" ref="AX315">IF(OR(AV315:AW315={"到貨","庫存"}),"完成","")</f>
        <v/>
      </c>
      <c r="AY315" s="92">
        <f>E315*$M$1</f>
        <v/>
      </c>
    </row>
    <row r="316" outlineLevel="1" ht="14.25" customHeight="1">
      <c r="A316" s="67" t="n">
        <v>301</v>
      </c>
      <c r="B316" s="526" t="n"/>
      <c r="C316" s="393" t="n"/>
      <c r="D316" s="427" t="n"/>
      <c r="E316" s="526" t="n"/>
      <c r="F316" s="526" t="n"/>
      <c r="G316" s="527" t="n"/>
      <c r="H316" s="393" t="n"/>
      <c r="I316" s="528" t="n"/>
      <c r="J316" s="528" t="n"/>
      <c r="K316" s="528" t="n"/>
      <c r="L316" s="529" t="n"/>
      <c r="M316" s="529" t="n"/>
      <c r="N316" s="530" t="n"/>
      <c r="O316" s="531" t="n"/>
      <c r="P316" s="527" t="n"/>
      <c r="Q316" s="528" t="n"/>
      <c r="R316" s="528" t="n"/>
      <c r="S316" s="528" t="n"/>
      <c r="T316" s="543" t="n"/>
      <c r="U316" s="534" t="n"/>
      <c r="V316" s="516" t="n"/>
      <c r="W316" s="535" t="n"/>
      <c r="X316" s="536" t="n"/>
      <c r="Y316" s="519" t="n"/>
      <c r="Z316" s="683" t="n"/>
      <c r="AA316" s="684" t="n"/>
      <c r="AB316" s="684" t="n"/>
      <c r="AC316" s="684" t="n"/>
      <c r="AD316" s="685" t="n"/>
      <c r="AE316" s="686" t="n"/>
      <c r="AF316" s="684" t="n"/>
      <c r="AG316" s="687" t="n"/>
      <c r="AH316" s="687" t="n"/>
      <c r="AI316" s="684" t="n"/>
      <c r="AJ316" s="686" t="n"/>
      <c r="AK316" s="687" t="n"/>
      <c r="AL316" s="687" t="n"/>
      <c r="AM316" s="687" t="n"/>
      <c r="AN316" s="688" t="n"/>
      <c r="AO316" s="686" t="n"/>
      <c r="AP316" s="689" t="n"/>
      <c r="AQ316" s="689" t="n"/>
      <c r="AR316" s="689" t="n"/>
      <c r="AS316" s="690" t="n"/>
      <c r="AT316" s="691">
        <f>IF(AJ316&lt;&gt;"",(IF(AV316="到貨","",(AJ316-TODAY()))),"")</f>
        <v/>
      </c>
      <c r="AU316" s="692">
        <f>IF(AO316&lt;&gt;"",(AO316-AE316),"")</f>
        <v/>
      </c>
      <c r="AV316" s="86">
        <f>IF(AI316&lt;&gt;"",IF(AS316&lt;&gt;"","到貨","5次發包中"),IF(AH316&lt;&gt;"",IF(AR316&lt;&gt;"","到貨","4次發包中"),IF(AG316&lt;&gt;"",IF(AQ316&lt;&gt;"","到貨","3次發包中"),IF(AF316&lt;&gt;"",IF(AP316&lt;&gt;"","到貨","2次發包中"),IF(AE316&lt;&gt;"",IF(AO316&lt;&gt;"","到貨","發包中"),"")))))</f>
        <v/>
      </c>
      <c r="AW316" s="86">
        <f>IF(OR($AW$6=Y316),$AW$6,"")</f>
        <v/>
      </c>
      <c r="AX316" s="87">
        <f t="array" ref="AX316">IF(OR(AV316:AW316={"到貨","庫存"}),"完成","")</f>
        <v/>
      </c>
      <c r="AY316" s="92">
        <f>E316*$M$1</f>
        <v/>
      </c>
    </row>
    <row r="317" outlineLevel="1" ht="14.25" customHeight="1">
      <c r="A317" s="67" t="n">
        <v>301</v>
      </c>
      <c r="B317" s="526" t="n"/>
      <c r="C317" s="393" t="n"/>
      <c r="D317" s="427" t="n"/>
      <c r="E317" s="526" t="n"/>
      <c r="F317" s="526" t="n"/>
      <c r="G317" s="527" t="n"/>
      <c r="H317" s="393" t="n"/>
      <c r="I317" s="528" t="n"/>
      <c r="J317" s="528" t="n"/>
      <c r="K317" s="528" t="n"/>
      <c r="L317" s="529" t="n"/>
      <c r="M317" s="529" t="n"/>
      <c r="N317" s="530" t="n"/>
      <c r="O317" s="531" t="n"/>
      <c r="P317" s="527" t="n"/>
      <c r="Q317" s="528" t="n"/>
      <c r="R317" s="528" t="n"/>
      <c r="S317" s="528" t="n"/>
      <c r="T317" s="543" t="n"/>
      <c r="U317" s="534" t="n"/>
      <c r="V317" s="516" t="n"/>
      <c r="W317" s="535" t="n"/>
      <c r="X317" s="536" t="n"/>
      <c r="Y317" s="519" t="n"/>
      <c r="Z317" s="683" t="n"/>
      <c r="AA317" s="684" t="n"/>
      <c r="AB317" s="684" t="n"/>
      <c r="AC317" s="684" t="n"/>
      <c r="AD317" s="685" t="n"/>
      <c r="AE317" s="686" t="n"/>
      <c r="AF317" s="684" t="n"/>
      <c r="AG317" s="687" t="n"/>
      <c r="AH317" s="687" t="n"/>
      <c r="AI317" s="684" t="n"/>
      <c r="AJ317" s="686" t="n"/>
      <c r="AK317" s="687" t="n"/>
      <c r="AL317" s="687" t="n"/>
      <c r="AM317" s="687" t="n"/>
      <c r="AN317" s="688" t="n"/>
      <c r="AO317" s="686" t="n"/>
      <c r="AP317" s="689" t="n"/>
      <c r="AQ317" s="689" t="n"/>
      <c r="AR317" s="689" t="n"/>
      <c r="AS317" s="690" t="n"/>
      <c r="AT317" s="691">
        <f>IF(AJ317&lt;&gt;"",(IF(AV317="到貨","",(AJ317-TODAY()))),"")</f>
        <v/>
      </c>
      <c r="AU317" s="692">
        <f>IF(AO317&lt;&gt;"",(AO317-AE317),"")</f>
        <v/>
      </c>
      <c r="AV317" s="86">
        <f>IF(AI317&lt;&gt;"",IF(AS317&lt;&gt;"","到貨","5次發包中"),IF(AH317&lt;&gt;"",IF(AR317&lt;&gt;"","到貨","4次發包中"),IF(AG317&lt;&gt;"",IF(AQ317&lt;&gt;"","到貨","3次發包中"),IF(AF317&lt;&gt;"",IF(AP317&lt;&gt;"","到貨","2次發包中"),IF(AE317&lt;&gt;"",IF(AO317&lt;&gt;"","到貨","發包中"),"")))))</f>
        <v/>
      </c>
      <c r="AW317" s="86">
        <f>IF(OR($AW$6=Y317),$AW$6,"")</f>
        <v/>
      </c>
      <c r="AX317" s="87">
        <f t="array" ref="AX317">IF(OR(AV317:AW317={"到貨","庫存"}),"完成","")</f>
        <v/>
      </c>
      <c r="AY317" s="92">
        <f>E317*$M$1</f>
        <v/>
      </c>
    </row>
    <row r="318" outlineLevel="1" ht="14.25" customHeight="1">
      <c r="A318" s="67" t="n">
        <v>301</v>
      </c>
      <c r="B318" s="526" t="n"/>
      <c r="C318" s="393" t="n"/>
      <c r="D318" s="427" t="n"/>
      <c r="E318" s="526" t="n"/>
      <c r="F318" s="526" t="n"/>
      <c r="G318" s="527" t="n"/>
      <c r="H318" s="393" t="n"/>
      <c r="I318" s="528" t="n"/>
      <c r="J318" s="528" t="n"/>
      <c r="K318" s="528" t="n"/>
      <c r="L318" s="529" t="n"/>
      <c r="M318" s="529" t="n"/>
      <c r="N318" s="530" t="n"/>
      <c r="O318" s="531" t="n"/>
      <c r="P318" s="527" t="n"/>
      <c r="Q318" s="528" t="n"/>
      <c r="R318" s="528" t="n"/>
      <c r="S318" s="528" t="n"/>
      <c r="T318" s="543" t="n"/>
      <c r="U318" s="534" t="n"/>
      <c r="V318" s="516" t="n"/>
      <c r="W318" s="535" t="n"/>
      <c r="X318" s="536" t="n"/>
      <c r="Y318" s="519" t="n"/>
      <c r="Z318" s="683" t="n"/>
      <c r="AA318" s="684" t="n"/>
      <c r="AB318" s="684" t="n"/>
      <c r="AC318" s="684" t="n"/>
      <c r="AD318" s="685" t="n"/>
      <c r="AE318" s="686" t="n"/>
      <c r="AF318" s="684" t="n"/>
      <c r="AG318" s="687" t="n"/>
      <c r="AH318" s="687" t="n"/>
      <c r="AI318" s="684" t="n"/>
      <c r="AJ318" s="686" t="n"/>
      <c r="AK318" s="687" t="n"/>
      <c r="AL318" s="687" t="n"/>
      <c r="AM318" s="687" t="n"/>
      <c r="AN318" s="688" t="n"/>
      <c r="AO318" s="686" t="n"/>
      <c r="AP318" s="689" t="n"/>
      <c r="AQ318" s="689" t="n"/>
      <c r="AR318" s="689" t="n"/>
      <c r="AS318" s="690" t="n"/>
      <c r="AT318" s="691">
        <f>IF(AJ318&lt;&gt;"",(IF(AV318="到貨","",(AJ318-TODAY()))),"")</f>
        <v/>
      </c>
      <c r="AU318" s="692">
        <f>IF(AO318&lt;&gt;"",(AO318-AE318),"")</f>
        <v/>
      </c>
      <c r="AV318" s="86">
        <f>IF(AI318&lt;&gt;"",IF(AS318&lt;&gt;"","到貨","5次發包中"),IF(AH318&lt;&gt;"",IF(AR318&lt;&gt;"","到貨","4次發包中"),IF(AG318&lt;&gt;"",IF(AQ318&lt;&gt;"","到貨","3次發包中"),IF(AF318&lt;&gt;"",IF(AP318&lt;&gt;"","到貨","2次發包中"),IF(AE318&lt;&gt;"",IF(AO318&lt;&gt;"","到貨","發包中"),"")))))</f>
        <v/>
      </c>
      <c r="AW318" s="86">
        <f>IF(OR($AW$6=Y318),$AW$6,"")</f>
        <v/>
      </c>
      <c r="AX318" s="87">
        <f t="array" ref="AX318">IF(OR(AV318:AW318={"到貨","庫存"}),"完成","")</f>
        <v/>
      </c>
      <c r="AY318" s="92">
        <f>E318*$M$1</f>
        <v/>
      </c>
    </row>
    <row r="319" outlineLevel="1" ht="14.25" customHeight="1">
      <c r="A319" s="67" t="n">
        <v>301</v>
      </c>
      <c r="B319" s="526" t="n"/>
      <c r="C319" s="393" t="n"/>
      <c r="D319" s="427" t="n"/>
      <c r="E319" s="526" t="n"/>
      <c r="F319" s="526" t="n"/>
      <c r="G319" s="527" t="n"/>
      <c r="H319" s="393" t="n"/>
      <c r="I319" s="528" t="n"/>
      <c r="J319" s="528" t="n"/>
      <c r="K319" s="528" t="n"/>
      <c r="L319" s="529" t="n"/>
      <c r="M319" s="529" t="n"/>
      <c r="N319" s="530" t="n"/>
      <c r="O319" s="531" t="n"/>
      <c r="P319" s="527" t="n"/>
      <c r="Q319" s="528" t="n"/>
      <c r="R319" s="528" t="n"/>
      <c r="S319" s="528" t="n"/>
      <c r="T319" s="543" t="n"/>
      <c r="U319" s="534" t="n"/>
      <c r="V319" s="516" t="n"/>
      <c r="W319" s="535" t="n"/>
      <c r="X319" s="536" t="n"/>
      <c r="Y319" s="519" t="n"/>
      <c r="Z319" s="683" t="n"/>
      <c r="AA319" s="684" t="n"/>
      <c r="AB319" s="684" t="n"/>
      <c r="AC319" s="684" t="n"/>
      <c r="AD319" s="685" t="n"/>
      <c r="AE319" s="686" t="n"/>
      <c r="AF319" s="684" t="n"/>
      <c r="AG319" s="687" t="n"/>
      <c r="AH319" s="687" t="n"/>
      <c r="AI319" s="684" t="n"/>
      <c r="AJ319" s="686" t="n"/>
      <c r="AK319" s="687" t="n"/>
      <c r="AL319" s="687" t="n"/>
      <c r="AM319" s="687" t="n"/>
      <c r="AN319" s="688" t="n"/>
      <c r="AO319" s="686" t="n"/>
      <c r="AP319" s="689" t="n"/>
      <c r="AQ319" s="689" t="n"/>
      <c r="AR319" s="689" t="n"/>
      <c r="AS319" s="690" t="n"/>
      <c r="AT319" s="691">
        <f>IF(AJ319&lt;&gt;"",(IF(AV319="到貨","",(AJ319-TODAY()))),"")</f>
        <v/>
      </c>
      <c r="AU319" s="692">
        <f>IF(AO319&lt;&gt;"",(AO319-AE319),"")</f>
        <v/>
      </c>
      <c r="AV319" s="86">
        <f>IF(AI319&lt;&gt;"",IF(AS319&lt;&gt;"","到貨","5次發包中"),IF(AH319&lt;&gt;"",IF(AR319&lt;&gt;"","到貨","4次發包中"),IF(AG319&lt;&gt;"",IF(AQ319&lt;&gt;"","到貨","3次發包中"),IF(AF319&lt;&gt;"",IF(AP319&lt;&gt;"","到貨","2次發包中"),IF(AE319&lt;&gt;"",IF(AO319&lt;&gt;"","到貨","發包中"),"")))))</f>
        <v/>
      </c>
      <c r="AW319" s="86">
        <f>IF(OR($AW$6=Y319),$AW$6,"")</f>
        <v/>
      </c>
      <c r="AX319" s="87">
        <f t="array" ref="AX319">IF(OR(AV319:AW319={"到貨","庫存"}),"完成","")</f>
        <v/>
      </c>
      <c r="AY319" s="92">
        <f>E319*$M$1</f>
        <v/>
      </c>
    </row>
    <row r="320" outlineLevel="1" ht="14.25" customHeight="1">
      <c r="A320" s="67" t="n">
        <v>301</v>
      </c>
      <c r="B320" s="526" t="n"/>
      <c r="C320" s="393" t="n"/>
      <c r="D320" s="427" t="n"/>
      <c r="E320" s="526" t="n"/>
      <c r="F320" s="526" t="n"/>
      <c r="G320" s="527" t="n"/>
      <c r="H320" s="393" t="n"/>
      <c r="I320" s="528" t="n"/>
      <c r="J320" s="528" t="n"/>
      <c r="K320" s="528" t="n"/>
      <c r="L320" s="529" t="n"/>
      <c r="M320" s="529" t="n"/>
      <c r="N320" s="530" t="n"/>
      <c r="O320" s="531" t="n"/>
      <c r="P320" s="527" t="n"/>
      <c r="Q320" s="528" t="n"/>
      <c r="R320" s="528" t="n"/>
      <c r="S320" s="528" t="n"/>
      <c r="T320" s="543" t="n"/>
      <c r="U320" s="534" t="n"/>
      <c r="V320" s="516" t="n"/>
      <c r="W320" s="535" t="n"/>
      <c r="X320" s="536" t="n"/>
      <c r="Y320" s="519" t="n"/>
      <c r="Z320" s="683" t="n"/>
      <c r="AA320" s="684" t="n"/>
      <c r="AB320" s="684" t="n"/>
      <c r="AC320" s="684" t="n"/>
      <c r="AD320" s="685" t="n"/>
      <c r="AE320" s="686" t="n"/>
      <c r="AF320" s="684" t="n"/>
      <c r="AG320" s="687" t="n"/>
      <c r="AH320" s="687" t="n"/>
      <c r="AI320" s="684" t="n"/>
      <c r="AJ320" s="686" t="n"/>
      <c r="AK320" s="687" t="n"/>
      <c r="AL320" s="687" t="n"/>
      <c r="AM320" s="687" t="n"/>
      <c r="AN320" s="688" t="n"/>
      <c r="AO320" s="686" t="n"/>
      <c r="AP320" s="689" t="n"/>
      <c r="AQ320" s="689" t="n"/>
      <c r="AR320" s="689" t="n"/>
      <c r="AS320" s="690" t="n"/>
      <c r="AT320" s="691">
        <f>IF(AJ320&lt;&gt;"",(IF(AV320="到貨","",(AJ320-TODAY()))),"")</f>
        <v/>
      </c>
      <c r="AU320" s="692">
        <f>IF(AO320&lt;&gt;"",(AO320-AE320),"")</f>
        <v/>
      </c>
      <c r="AV320" s="86">
        <f>IF(AI320&lt;&gt;"",IF(AS320&lt;&gt;"","到貨","5次發包中"),IF(AH320&lt;&gt;"",IF(AR320&lt;&gt;"","到貨","4次發包中"),IF(AG320&lt;&gt;"",IF(AQ320&lt;&gt;"","到貨","3次發包中"),IF(AF320&lt;&gt;"",IF(AP320&lt;&gt;"","到貨","2次發包中"),IF(AE320&lt;&gt;"",IF(AO320&lt;&gt;"","到貨","發包中"),"")))))</f>
        <v/>
      </c>
      <c r="AW320" s="86">
        <f>IF(OR($AW$6=Y320),$AW$6,"")</f>
        <v/>
      </c>
      <c r="AX320" s="87">
        <f t="array" ref="AX320">IF(OR(AV320:AW320={"到貨","庫存"}),"完成","")</f>
        <v/>
      </c>
      <c r="AY320" s="92">
        <f>E320*$M$1</f>
        <v/>
      </c>
    </row>
    <row r="321" outlineLevel="1" ht="14.25" customHeight="1">
      <c r="A321" s="67" t="n">
        <v>301</v>
      </c>
      <c r="B321" s="526" t="n"/>
      <c r="C321" s="393" t="n"/>
      <c r="D321" s="427" t="n"/>
      <c r="E321" s="526" t="n"/>
      <c r="F321" s="526" t="n"/>
      <c r="G321" s="527" t="n"/>
      <c r="H321" s="393" t="n"/>
      <c r="I321" s="528" t="n"/>
      <c r="J321" s="528" t="n"/>
      <c r="K321" s="528" t="n"/>
      <c r="L321" s="529" t="n"/>
      <c r="M321" s="529" t="n"/>
      <c r="N321" s="530" t="n"/>
      <c r="O321" s="531" t="n"/>
      <c r="P321" s="527" t="n"/>
      <c r="Q321" s="528" t="n"/>
      <c r="R321" s="528" t="n"/>
      <c r="S321" s="528" t="n"/>
      <c r="T321" s="543" t="n"/>
      <c r="U321" s="534" t="n"/>
      <c r="V321" s="516" t="n"/>
      <c r="W321" s="535" t="n"/>
      <c r="X321" s="536" t="n"/>
      <c r="Y321" s="519" t="n"/>
      <c r="Z321" s="683" t="n"/>
      <c r="AA321" s="684" t="n"/>
      <c r="AB321" s="684" t="n"/>
      <c r="AC321" s="684" t="n"/>
      <c r="AD321" s="685" t="n"/>
      <c r="AE321" s="686" t="n"/>
      <c r="AF321" s="684" t="n"/>
      <c r="AG321" s="687" t="n"/>
      <c r="AH321" s="687" t="n"/>
      <c r="AI321" s="684" t="n"/>
      <c r="AJ321" s="686" t="n"/>
      <c r="AK321" s="687" t="n"/>
      <c r="AL321" s="687" t="n"/>
      <c r="AM321" s="687" t="n"/>
      <c r="AN321" s="688" t="n"/>
      <c r="AO321" s="686" t="n"/>
      <c r="AP321" s="689" t="n"/>
      <c r="AQ321" s="689" t="n"/>
      <c r="AR321" s="689" t="n"/>
      <c r="AS321" s="690" t="n"/>
      <c r="AT321" s="691">
        <f>IF(AJ321&lt;&gt;"",(IF(AV321="到貨","",(AJ321-TODAY()))),"")</f>
        <v/>
      </c>
      <c r="AU321" s="692">
        <f>IF(AO321&lt;&gt;"",(AO321-AE321),"")</f>
        <v/>
      </c>
      <c r="AV321" s="86">
        <f>IF(AI321&lt;&gt;"",IF(AS321&lt;&gt;"","到貨","5次發包中"),IF(AH321&lt;&gt;"",IF(AR321&lt;&gt;"","到貨","4次發包中"),IF(AG321&lt;&gt;"",IF(AQ321&lt;&gt;"","到貨","3次發包中"),IF(AF321&lt;&gt;"",IF(AP321&lt;&gt;"","到貨","2次發包中"),IF(AE321&lt;&gt;"",IF(AO321&lt;&gt;"","到貨","發包中"),"")))))</f>
        <v/>
      </c>
      <c r="AW321" s="86">
        <f>IF(OR($AW$6=Y321),$AW$6,"")</f>
        <v/>
      </c>
      <c r="AX321" s="87">
        <f t="array" ref="AX321">IF(OR(AV321:AW321={"到貨","庫存"}),"完成","")</f>
        <v/>
      </c>
      <c r="AY321" s="92">
        <f>E321*$M$1</f>
        <v/>
      </c>
    </row>
    <row r="322" outlineLevel="1" ht="14.25" customHeight="1">
      <c r="A322" s="67" t="n">
        <v>301</v>
      </c>
      <c r="B322" s="526" t="n"/>
      <c r="C322" s="393" t="n"/>
      <c r="D322" s="427" t="n"/>
      <c r="E322" s="526" t="n"/>
      <c r="F322" s="526" t="n"/>
      <c r="G322" s="527" t="n"/>
      <c r="H322" s="393" t="n"/>
      <c r="I322" s="528" t="n"/>
      <c r="J322" s="528" t="n"/>
      <c r="K322" s="528" t="n"/>
      <c r="L322" s="529" t="n"/>
      <c r="M322" s="529" t="n"/>
      <c r="N322" s="530" t="n"/>
      <c r="O322" s="531" t="n"/>
      <c r="P322" s="527" t="n"/>
      <c r="Q322" s="528" t="n"/>
      <c r="R322" s="528" t="n"/>
      <c r="S322" s="528" t="n"/>
      <c r="T322" s="543" t="n"/>
      <c r="U322" s="534" t="n"/>
      <c r="V322" s="516" t="n"/>
      <c r="W322" s="535" t="n"/>
      <c r="X322" s="536" t="n"/>
      <c r="Y322" s="519" t="n"/>
      <c r="Z322" s="683" t="n"/>
      <c r="AA322" s="684" t="n"/>
      <c r="AB322" s="684" t="n"/>
      <c r="AC322" s="684" t="n"/>
      <c r="AD322" s="685" t="n"/>
      <c r="AE322" s="686" t="n"/>
      <c r="AF322" s="684" t="n"/>
      <c r="AG322" s="687" t="n"/>
      <c r="AH322" s="687" t="n"/>
      <c r="AI322" s="684" t="n"/>
      <c r="AJ322" s="686" t="n"/>
      <c r="AK322" s="687" t="n"/>
      <c r="AL322" s="687" t="n"/>
      <c r="AM322" s="687" t="n"/>
      <c r="AN322" s="688" t="n"/>
      <c r="AO322" s="686" t="n"/>
      <c r="AP322" s="689" t="n"/>
      <c r="AQ322" s="689" t="n"/>
      <c r="AR322" s="689" t="n"/>
      <c r="AS322" s="690" t="n"/>
      <c r="AT322" s="691">
        <f>IF(AJ322&lt;&gt;"",(IF(AV322="到貨","",(AJ322-TODAY()))),"")</f>
        <v/>
      </c>
      <c r="AU322" s="692">
        <f>IF(AO322&lt;&gt;"",(AO322-AE322),"")</f>
        <v/>
      </c>
      <c r="AV322" s="86">
        <f>IF(AI322&lt;&gt;"",IF(AS322&lt;&gt;"","到貨","5次發包中"),IF(AH322&lt;&gt;"",IF(AR322&lt;&gt;"","到貨","4次發包中"),IF(AG322&lt;&gt;"",IF(AQ322&lt;&gt;"","到貨","3次發包中"),IF(AF322&lt;&gt;"",IF(AP322&lt;&gt;"","到貨","2次發包中"),IF(AE322&lt;&gt;"",IF(AO322&lt;&gt;"","到貨","發包中"),"")))))</f>
        <v/>
      </c>
      <c r="AW322" s="86">
        <f>IF(OR($AW$6=Y322),$AW$6,"")</f>
        <v/>
      </c>
      <c r="AX322" s="87">
        <f t="array" ref="AX322">IF(OR(AV322:AW322={"到貨","庫存"}),"完成","")</f>
        <v/>
      </c>
      <c r="AY322" s="92">
        <f>E322*$M$1</f>
        <v/>
      </c>
    </row>
    <row r="323" outlineLevel="1" ht="14.25" customHeight="1">
      <c r="A323" s="67" t="n">
        <v>301</v>
      </c>
      <c r="B323" s="526" t="n"/>
      <c r="C323" s="393" t="n"/>
      <c r="D323" s="427" t="n"/>
      <c r="E323" s="526" t="n"/>
      <c r="F323" s="526" t="n"/>
      <c r="G323" s="527" t="n"/>
      <c r="H323" s="393" t="n"/>
      <c r="I323" s="528" t="n"/>
      <c r="J323" s="528" t="n"/>
      <c r="K323" s="528" t="n"/>
      <c r="L323" s="529" t="n"/>
      <c r="M323" s="529" t="n"/>
      <c r="N323" s="530" t="n"/>
      <c r="O323" s="531" t="n"/>
      <c r="P323" s="527" t="n"/>
      <c r="Q323" s="528" t="n"/>
      <c r="R323" s="528" t="n"/>
      <c r="S323" s="528" t="n"/>
      <c r="T323" s="543" t="n"/>
      <c r="U323" s="534" t="n"/>
      <c r="V323" s="516" t="n"/>
      <c r="W323" s="535" t="n"/>
      <c r="X323" s="536" t="n"/>
      <c r="Y323" s="519" t="n"/>
      <c r="Z323" s="683" t="n"/>
      <c r="AA323" s="684" t="n"/>
      <c r="AB323" s="684" t="n"/>
      <c r="AC323" s="684" t="n"/>
      <c r="AD323" s="685" t="n"/>
      <c r="AE323" s="686" t="n"/>
      <c r="AF323" s="684" t="n"/>
      <c r="AG323" s="687" t="n"/>
      <c r="AH323" s="687" t="n"/>
      <c r="AI323" s="684" t="n"/>
      <c r="AJ323" s="686" t="n"/>
      <c r="AK323" s="687" t="n"/>
      <c r="AL323" s="687" t="n"/>
      <c r="AM323" s="687" t="n"/>
      <c r="AN323" s="688" t="n"/>
      <c r="AO323" s="686" t="n"/>
      <c r="AP323" s="689" t="n"/>
      <c r="AQ323" s="689" t="n"/>
      <c r="AR323" s="689" t="n"/>
      <c r="AS323" s="690" t="n"/>
      <c r="AT323" s="691">
        <f>IF(AJ323&lt;&gt;"",(IF(AV323="到貨","",(AJ323-TODAY()))),"")</f>
        <v/>
      </c>
      <c r="AU323" s="692">
        <f>IF(AO323&lt;&gt;"",(AO323-AE323),"")</f>
        <v/>
      </c>
      <c r="AV323" s="86">
        <f>IF(AI323&lt;&gt;"",IF(AS323&lt;&gt;"","到貨","5次發包中"),IF(AH323&lt;&gt;"",IF(AR323&lt;&gt;"","到貨","4次發包中"),IF(AG323&lt;&gt;"",IF(AQ323&lt;&gt;"","到貨","3次發包中"),IF(AF323&lt;&gt;"",IF(AP323&lt;&gt;"","到貨","2次發包中"),IF(AE323&lt;&gt;"",IF(AO323&lt;&gt;"","到貨","發包中"),"")))))</f>
        <v/>
      </c>
      <c r="AW323" s="86">
        <f>IF(OR($AW$6=Y323),$AW$6,"")</f>
        <v/>
      </c>
      <c r="AX323" s="87">
        <f t="array" ref="AX323">IF(OR(AV323:AW323={"到貨","庫存"}),"完成","")</f>
        <v/>
      </c>
      <c r="AY323" s="92">
        <f>E323*$M$1</f>
        <v/>
      </c>
    </row>
    <row r="324" outlineLevel="1" ht="14.25" customHeight="1">
      <c r="A324" s="67" t="n">
        <v>301</v>
      </c>
      <c r="B324" s="526" t="n"/>
      <c r="C324" s="393" t="n"/>
      <c r="D324" s="427" t="n"/>
      <c r="E324" s="526" t="n"/>
      <c r="F324" s="526" t="n"/>
      <c r="G324" s="527" t="n"/>
      <c r="H324" s="393" t="n"/>
      <c r="I324" s="528" t="n"/>
      <c r="J324" s="528" t="n"/>
      <c r="K324" s="528" t="n"/>
      <c r="L324" s="529" t="n"/>
      <c r="M324" s="529" t="n"/>
      <c r="N324" s="530" t="n"/>
      <c r="O324" s="531" t="n"/>
      <c r="P324" s="527" t="n"/>
      <c r="Q324" s="528" t="n"/>
      <c r="R324" s="528" t="n"/>
      <c r="S324" s="528" t="n"/>
      <c r="T324" s="543" t="n"/>
      <c r="U324" s="534" t="n"/>
      <c r="V324" s="516" t="n"/>
      <c r="W324" s="535" t="n"/>
      <c r="X324" s="536" t="n"/>
      <c r="Y324" s="519" t="n"/>
      <c r="Z324" s="683" t="n"/>
      <c r="AA324" s="684" t="n"/>
      <c r="AB324" s="684" t="n"/>
      <c r="AC324" s="684" t="n"/>
      <c r="AD324" s="685" t="n"/>
      <c r="AE324" s="686" t="n"/>
      <c r="AF324" s="684" t="n"/>
      <c r="AG324" s="687" t="n"/>
      <c r="AH324" s="687" t="n"/>
      <c r="AI324" s="684" t="n"/>
      <c r="AJ324" s="686" t="n"/>
      <c r="AK324" s="687" t="n"/>
      <c r="AL324" s="687" t="n"/>
      <c r="AM324" s="687" t="n"/>
      <c r="AN324" s="688" t="n"/>
      <c r="AO324" s="686" t="n"/>
      <c r="AP324" s="689" t="n"/>
      <c r="AQ324" s="689" t="n"/>
      <c r="AR324" s="689" t="n"/>
      <c r="AS324" s="690" t="n"/>
      <c r="AT324" s="691">
        <f>IF(AJ324&lt;&gt;"",(IF(AV324="到貨","",(AJ324-TODAY()))),"")</f>
        <v/>
      </c>
      <c r="AU324" s="692">
        <f>IF(AO324&lt;&gt;"",(AO324-AE324),"")</f>
        <v/>
      </c>
      <c r="AV324" s="86">
        <f>IF(AI324&lt;&gt;"",IF(AS324&lt;&gt;"","到貨","5次發包中"),IF(AH324&lt;&gt;"",IF(AR324&lt;&gt;"","到貨","4次發包中"),IF(AG324&lt;&gt;"",IF(AQ324&lt;&gt;"","到貨","3次發包中"),IF(AF324&lt;&gt;"",IF(AP324&lt;&gt;"","到貨","2次發包中"),IF(AE324&lt;&gt;"",IF(AO324&lt;&gt;"","到貨","發包中"),"")))))</f>
        <v/>
      </c>
      <c r="AW324" s="86">
        <f>IF(OR($AW$6=Y324),$AW$6,"")</f>
        <v/>
      </c>
      <c r="AX324" s="87">
        <f t="array" ref="AX324">IF(OR(AV324:AW324={"到貨","庫存"}),"完成","")</f>
        <v/>
      </c>
      <c r="AY324" s="92">
        <f>E324*$M$1</f>
        <v/>
      </c>
    </row>
    <row r="325" outlineLevel="1" ht="14.25" customHeight="1">
      <c r="A325" s="67" t="n">
        <v>301</v>
      </c>
      <c r="B325" s="526" t="n"/>
      <c r="C325" s="393" t="n"/>
      <c r="D325" s="427" t="n"/>
      <c r="E325" s="526" t="n"/>
      <c r="F325" s="526" t="n"/>
      <c r="G325" s="527" t="n"/>
      <c r="H325" s="393" t="n"/>
      <c r="I325" s="528" t="n"/>
      <c r="J325" s="528" t="n"/>
      <c r="K325" s="528" t="n"/>
      <c r="L325" s="529" t="n"/>
      <c r="M325" s="529" t="n"/>
      <c r="N325" s="530" t="n"/>
      <c r="O325" s="531" t="n"/>
      <c r="P325" s="527" t="n"/>
      <c r="Q325" s="528" t="n"/>
      <c r="R325" s="528" t="n"/>
      <c r="S325" s="528" t="n"/>
      <c r="T325" s="543" t="n"/>
      <c r="U325" s="534" t="n"/>
      <c r="V325" s="516" t="n"/>
      <c r="W325" s="535" t="n"/>
      <c r="X325" s="536" t="n"/>
      <c r="Y325" s="519" t="n"/>
      <c r="Z325" s="683" t="n"/>
      <c r="AA325" s="684" t="n"/>
      <c r="AB325" s="684" t="n"/>
      <c r="AC325" s="684" t="n"/>
      <c r="AD325" s="685" t="n"/>
      <c r="AE325" s="686" t="n"/>
      <c r="AF325" s="684" t="n"/>
      <c r="AG325" s="687" t="n"/>
      <c r="AH325" s="687" t="n"/>
      <c r="AI325" s="684" t="n"/>
      <c r="AJ325" s="686" t="n"/>
      <c r="AK325" s="687" t="n"/>
      <c r="AL325" s="687" t="n"/>
      <c r="AM325" s="687" t="n"/>
      <c r="AN325" s="688" t="n"/>
      <c r="AO325" s="686" t="n"/>
      <c r="AP325" s="689" t="n"/>
      <c r="AQ325" s="689" t="n"/>
      <c r="AR325" s="689" t="n"/>
      <c r="AS325" s="690" t="n"/>
      <c r="AT325" s="691">
        <f>IF(AJ325&lt;&gt;"",(IF(AV325="到貨","",(AJ325-TODAY()))),"")</f>
        <v/>
      </c>
      <c r="AU325" s="692">
        <f>IF(AO325&lt;&gt;"",(AO325-AE325),"")</f>
        <v/>
      </c>
      <c r="AV325" s="86">
        <f>IF(AI325&lt;&gt;"",IF(AS325&lt;&gt;"","到貨","5次發包中"),IF(AH325&lt;&gt;"",IF(AR325&lt;&gt;"","到貨","4次發包中"),IF(AG325&lt;&gt;"",IF(AQ325&lt;&gt;"","到貨","3次發包中"),IF(AF325&lt;&gt;"",IF(AP325&lt;&gt;"","到貨","2次發包中"),IF(AE325&lt;&gt;"",IF(AO325&lt;&gt;"","到貨","發包中"),"")))))</f>
        <v/>
      </c>
      <c r="AW325" s="86">
        <f>IF(OR($AW$6=Y325),$AW$6,"")</f>
        <v/>
      </c>
      <c r="AX325" s="87">
        <f t="array" ref="AX325">IF(OR(AV325:AW325={"到貨","庫存"}),"完成","")</f>
        <v/>
      </c>
      <c r="AY325" s="92">
        <f>E325*$M$1</f>
        <v/>
      </c>
    </row>
    <row r="326" outlineLevel="1" ht="14.25" customHeight="1">
      <c r="A326" s="67" t="n">
        <v>301</v>
      </c>
      <c r="B326" s="526" t="n"/>
      <c r="C326" s="393" t="n"/>
      <c r="D326" s="427" t="n"/>
      <c r="E326" s="526" t="n"/>
      <c r="F326" s="526" t="n"/>
      <c r="G326" s="527" t="n"/>
      <c r="H326" s="393" t="n"/>
      <c r="I326" s="528" t="n"/>
      <c r="J326" s="528" t="n"/>
      <c r="K326" s="528" t="n"/>
      <c r="L326" s="529" t="n"/>
      <c r="M326" s="529" t="n"/>
      <c r="N326" s="530" t="n"/>
      <c r="O326" s="531" t="n"/>
      <c r="P326" s="527" t="n"/>
      <c r="Q326" s="528" t="n"/>
      <c r="R326" s="528" t="n"/>
      <c r="S326" s="528" t="n"/>
      <c r="T326" s="543" t="n"/>
      <c r="U326" s="534" t="n"/>
      <c r="V326" s="516" t="n"/>
      <c r="W326" s="535" t="n"/>
      <c r="X326" s="536" t="n"/>
      <c r="Y326" s="519" t="n"/>
      <c r="Z326" s="683" t="n"/>
      <c r="AA326" s="684" t="n"/>
      <c r="AB326" s="684" t="n"/>
      <c r="AC326" s="684" t="n"/>
      <c r="AD326" s="685" t="n"/>
      <c r="AE326" s="686" t="n"/>
      <c r="AF326" s="684" t="n"/>
      <c r="AG326" s="687" t="n"/>
      <c r="AH326" s="687" t="n"/>
      <c r="AI326" s="684" t="n"/>
      <c r="AJ326" s="686" t="n"/>
      <c r="AK326" s="687" t="n"/>
      <c r="AL326" s="687" t="n"/>
      <c r="AM326" s="687" t="n"/>
      <c r="AN326" s="688" t="n"/>
      <c r="AO326" s="686" t="n"/>
      <c r="AP326" s="689" t="n"/>
      <c r="AQ326" s="689" t="n"/>
      <c r="AR326" s="689" t="n"/>
      <c r="AS326" s="690" t="n"/>
      <c r="AT326" s="691">
        <f>IF(AJ326&lt;&gt;"",(IF(AV326="到貨","",(AJ326-TODAY()))),"")</f>
        <v/>
      </c>
      <c r="AU326" s="692">
        <f>IF(AO326&lt;&gt;"",(AO326-AE326),"")</f>
        <v/>
      </c>
      <c r="AV326" s="86">
        <f>IF(AI326&lt;&gt;"",IF(AS326&lt;&gt;"","到貨","5次發包中"),IF(AH326&lt;&gt;"",IF(AR326&lt;&gt;"","到貨","4次發包中"),IF(AG326&lt;&gt;"",IF(AQ326&lt;&gt;"","到貨","3次發包中"),IF(AF326&lt;&gt;"",IF(AP326&lt;&gt;"","到貨","2次發包中"),IF(AE326&lt;&gt;"",IF(AO326&lt;&gt;"","到貨","發包中"),"")))))</f>
        <v/>
      </c>
      <c r="AW326" s="86">
        <f>IF(OR($AW$6=Y326),$AW$6,"")</f>
        <v/>
      </c>
      <c r="AX326" s="87">
        <f t="array" ref="AX326">IF(OR(AV326:AW326={"到貨","庫存"}),"完成","")</f>
        <v/>
      </c>
      <c r="AY326" s="92">
        <f>E326*$M$1</f>
        <v/>
      </c>
    </row>
    <row r="327" outlineLevel="1" ht="14.25" customHeight="1">
      <c r="A327" s="67" t="n">
        <v>301</v>
      </c>
      <c r="B327" s="526" t="n"/>
      <c r="C327" s="393" t="n"/>
      <c r="D327" s="427" t="n"/>
      <c r="E327" s="526" t="n"/>
      <c r="F327" s="526" t="n"/>
      <c r="G327" s="527" t="n"/>
      <c r="H327" s="393" t="n"/>
      <c r="I327" s="528" t="n"/>
      <c r="J327" s="528" t="n"/>
      <c r="K327" s="528" t="n"/>
      <c r="L327" s="529" t="n"/>
      <c r="M327" s="529" t="n"/>
      <c r="N327" s="530" t="n"/>
      <c r="O327" s="531" t="n"/>
      <c r="P327" s="527" t="n"/>
      <c r="Q327" s="528" t="n"/>
      <c r="R327" s="528" t="n"/>
      <c r="S327" s="528" t="n"/>
      <c r="T327" s="543" t="n"/>
      <c r="U327" s="534" t="n"/>
      <c r="V327" s="516" t="n"/>
      <c r="W327" s="535" t="n"/>
      <c r="X327" s="536" t="n"/>
      <c r="Y327" s="519" t="n"/>
      <c r="Z327" s="683" t="n"/>
      <c r="AA327" s="684" t="n"/>
      <c r="AB327" s="684" t="n"/>
      <c r="AC327" s="684" t="n"/>
      <c r="AD327" s="685" t="n"/>
      <c r="AE327" s="686" t="n"/>
      <c r="AF327" s="684" t="n"/>
      <c r="AG327" s="687" t="n"/>
      <c r="AH327" s="687" t="n"/>
      <c r="AI327" s="684" t="n"/>
      <c r="AJ327" s="686" t="n"/>
      <c r="AK327" s="687" t="n"/>
      <c r="AL327" s="687" t="n"/>
      <c r="AM327" s="687" t="n"/>
      <c r="AN327" s="688" t="n"/>
      <c r="AO327" s="686" t="n"/>
      <c r="AP327" s="689" t="n"/>
      <c r="AQ327" s="689" t="n"/>
      <c r="AR327" s="689" t="n"/>
      <c r="AS327" s="690" t="n"/>
      <c r="AT327" s="691">
        <f>IF(AJ327&lt;&gt;"",(IF(AV327="到貨","",(AJ327-TODAY()))),"")</f>
        <v/>
      </c>
      <c r="AU327" s="692">
        <f>IF(AO327&lt;&gt;"",(AO327-AE327),"")</f>
        <v/>
      </c>
      <c r="AV327" s="86">
        <f>IF(AI327&lt;&gt;"",IF(AS327&lt;&gt;"","到貨","5次發包中"),IF(AH327&lt;&gt;"",IF(AR327&lt;&gt;"","到貨","4次發包中"),IF(AG327&lt;&gt;"",IF(AQ327&lt;&gt;"","到貨","3次發包中"),IF(AF327&lt;&gt;"",IF(AP327&lt;&gt;"","到貨","2次發包中"),IF(AE327&lt;&gt;"",IF(AO327&lt;&gt;"","到貨","發包中"),"")))))</f>
        <v/>
      </c>
      <c r="AW327" s="86">
        <f>IF(OR($AW$6=Y327),$AW$6,"")</f>
        <v/>
      </c>
      <c r="AX327" s="87">
        <f t="array" ref="AX327">IF(OR(AV327:AW327={"到貨","庫存"}),"完成","")</f>
        <v/>
      </c>
      <c r="AY327" s="92">
        <f>E327*$M$1</f>
        <v/>
      </c>
    </row>
    <row r="328" outlineLevel="1" ht="14.25" customHeight="1">
      <c r="A328" s="67" t="n">
        <v>301</v>
      </c>
      <c r="B328" s="526" t="n"/>
      <c r="C328" s="393" t="n"/>
      <c r="D328" s="427" t="n"/>
      <c r="E328" s="526" t="n"/>
      <c r="F328" s="526" t="n"/>
      <c r="G328" s="527" t="n"/>
      <c r="H328" s="393" t="n"/>
      <c r="I328" s="528" t="n"/>
      <c r="J328" s="528" t="n"/>
      <c r="K328" s="528" t="n"/>
      <c r="L328" s="529" t="n"/>
      <c r="M328" s="529" t="n"/>
      <c r="N328" s="530" t="n"/>
      <c r="O328" s="531" t="n"/>
      <c r="P328" s="527" t="n"/>
      <c r="Q328" s="528" t="n"/>
      <c r="R328" s="528" t="n"/>
      <c r="S328" s="528" t="n"/>
      <c r="T328" s="543" t="n"/>
      <c r="U328" s="534" t="n"/>
      <c r="V328" s="516" t="n"/>
      <c r="W328" s="535" t="n"/>
      <c r="X328" s="536" t="n"/>
      <c r="Y328" s="519" t="n"/>
      <c r="Z328" s="683" t="n"/>
      <c r="AA328" s="684" t="n"/>
      <c r="AB328" s="684" t="n"/>
      <c r="AC328" s="684" t="n"/>
      <c r="AD328" s="685" t="n"/>
      <c r="AE328" s="686" t="n"/>
      <c r="AF328" s="684" t="n"/>
      <c r="AG328" s="687" t="n"/>
      <c r="AH328" s="687" t="n"/>
      <c r="AI328" s="684" t="n"/>
      <c r="AJ328" s="686" t="n"/>
      <c r="AK328" s="687" t="n"/>
      <c r="AL328" s="687" t="n"/>
      <c r="AM328" s="687" t="n"/>
      <c r="AN328" s="688" t="n"/>
      <c r="AO328" s="686" t="n"/>
      <c r="AP328" s="689" t="n"/>
      <c r="AQ328" s="689" t="n"/>
      <c r="AR328" s="689" t="n"/>
      <c r="AS328" s="690" t="n"/>
      <c r="AT328" s="691">
        <f>IF(AJ328&lt;&gt;"",(IF(AV328="到貨","",(AJ328-TODAY()))),"")</f>
        <v/>
      </c>
      <c r="AU328" s="692">
        <f>IF(AO328&lt;&gt;"",(AO328-AE328),"")</f>
        <v/>
      </c>
      <c r="AV328" s="86">
        <f>IF(AI328&lt;&gt;"",IF(AS328&lt;&gt;"","到貨","5次發包中"),IF(AH328&lt;&gt;"",IF(AR328&lt;&gt;"","到貨","4次發包中"),IF(AG328&lt;&gt;"",IF(AQ328&lt;&gt;"","到貨","3次發包中"),IF(AF328&lt;&gt;"",IF(AP328&lt;&gt;"","到貨","2次發包中"),IF(AE328&lt;&gt;"",IF(AO328&lt;&gt;"","到貨","發包中"),"")))))</f>
        <v/>
      </c>
      <c r="AW328" s="86">
        <f>IF(OR($AW$6=Y328),$AW$6,"")</f>
        <v/>
      </c>
      <c r="AX328" s="87">
        <f t="array" ref="AX328">IF(OR(AV328:AW328={"到貨","庫存"}),"完成","")</f>
        <v/>
      </c>
      <c r="AY328" s="92">
        <f>E328*$M$1</f>
        <v/>
      </c>
    </row>
    <row r="329" outlineLevel="1" ht="14.25" customHeight="1">
      <c r="A329" s="67" t="n">
        <v>301</v>
      </c>
      <c r="B329" s="526" t="n"/>
      <c r="C329" s="393" t="n"/>
      <c r="D329" s="427" t="n"/>
      <c r="E329" s="526" t="n"/>
      <c r="F329" s="526" t="n"/>
      <c r="G329" s="527" t="n"/>
      <c r="H329" s="393" t="n"/>
      <c r="I329" s="528" t="n"/>
      <c r="J329" s="528" t="n"/>
      <c r="K329" s="528" t="n"/>
      <c r="L329" s="529" t="n"/>
      <c r="M329" s="529" t="n"/>
      <c r="N329" s="530" t="n"/>
      <c r="O329" s="531" t="n"/>
      <c r="P329" s="527" t="n"/>
      <c r="Q329" s="528" t="n"/>
      <c r="R329" s="528" t="n"/>
      <c r="S329" s="528" t="n"/>
      <c r="T329" s="543" t="n"/>
      <c r="U329" s="534" t="n"/>
      <c r="V329" s="516" t="n"/>
      <c r="W329" s="535" t="n"/>
      <c r="X329" s="536" t="n"/>
      <c r="Y329" s="519" t="n"/>
      <c r="Z329" s="683" t="n"/>
      <c r="AA329" s="684" t="n"/>
      <c r="AB329" s="684" t="n"/>
      <c r="AC329" s="684" t="n"/>
      <c r="AD329" s="685" t="n"/>
      <c r="AE329" s="686" t="n"/>
      <c r="AF329" s="684" t="n"/>
      <c r="AG329" s="687" t="n"/>
      <c r="AH329" s="687" t="n"/>
      <c r="AI329" s="684" t="n"/>
      <c r="AJ329" s="686" t="n"/>
      <c r="AK329" s="687" t="n"/>
      <c r="AL329" s="687" t="n"/>
      <c r="AM329" s="687" t="n"/>
      <c r="AN329" s="688" t="n"/>
      <c r="AO329" s="686" t="n"/>
      <c r="AP329" s="689" t="n"/>
      <c r="AQ329" s="689" t="n"/>
      <c r="AR329" s="689" t="n"/>
      <c r="AS329" s="690" t="n"/>
      <c r="AT329" s="691">
        <f>IF(AJ329&lt;&gt;"",(IF(AV329="到貨","",(AJ329-TODAY()))),"")</f>
        <v/>
      </c>
      <c r="AU329" s="692">
        <f>IF(AO329&lt;&gt;"",(AO329-AE329),"")</f>
        <v/>
      </c>
      <c r="AV329" s="86">
        <f>IF(AI329&lt;&gt;"",IF(AS329&lt;&gt;"","到貨","5次發包中"),IF(AH329&lt;&gt;"",IF(AR329&lt;&gt;"","到貨","4次發包中"),IF(AG329&lt;&gt;"",IF(AQ329&lt;&gt;"","到貨","3次發包中"),IF(AF329&lt;&gt;"",IF(AP329&lt;&gt;"","到貨","2次發包中"),IF(AE329&lt;&gt;"",IF(AO329&lt;&gt;"","到貨","發包中"),"")))))</f>
        <v/>
      </c>
      <c r="AW329" s="86">
        <f>IF(OR($AW$6=Y329),$AW$6,"")</f>
        <v/>
      </c>
      <c r="AX329" s="87">
        <f t="array" ref="AX329">IF(OR(AV329:AW329={"到貨","庫存"}),"完成","")</f>
        <v/>
      </c>
      <c r="AY329" s="92">
        <f>E329*$M$1</f>
        <v/>
      </c>
    </row>
    <row r="330" outlineLevel="1" ht="14.25" customHeight="1">
      <c r="A330" s="67" t="n">
        <v>301</v>
      </c>
      <c r="B330" s="526" t="n"/>
      <c r="C330" s="393" t="n"/>
      <c r="D330" s="427" t="n"/>
      <c r="E330" s="526" t="n"/>
      <c r="F330" s="526" t="n"/>
      <c r="G330" s="527" t="n"/>
      <c r="H330" s="393" t="n"/>
      <c r="I330" s="528" t="n"/>
      <c r="J330" s="528" t="n"/>
      <c r="K330" s="528" t="n"/>
      <c r="L330" s="529" t="n"/>
      <c r="M330" s="529" t="n"/>
      <c r="N330" s="530" t="n"/>
      <c r="O330" s="531" t="n"/>
      <c r="P330" s="527" t="n"/>
      <c r="Q330" s="528" t="n"/>
      <c r="R330" s="528" t="n"/>
      <c r="S330" s="528" t="n"/>
      <c r="T330" s="543" t="n"/>
      <c r="U330" s="534" t="n"/>
      <c r="V330" s="516" t="n"/>
      <c r="W330" s="535" t="n"/>
      <c r="X330" s="536" t="n"/>
      <c r="Y330" s="519" t="n"/>
      <c r="Z330" s="683" t="n"/>
      <c r="AA330" s="684" t="n"/>
      <c r="AB330" s="684" t="n"/>
      <c r="AC330" s="684" t="n"/>
      <c r="AD330" s="685" t="n"/>
      <c r="AE330" s="686" t="n"/>
      <c r="AF330" s="684" t="n"/>
      <c r="AG330" s="687" t="n"/>
      <c r="AH330" s="687" t="n"/>
      <c r="AI330" s="684" t="n"/>
      <c r="AJ330" s="686" t="n"/>
      <c r="AK330" s="687" t="n"/>
      <c r="AL330" s="687" t="n"/>
      <c r="AM330" s="687" t="n"/>
      <c r="AN330" s="688" t="n"/>
      <c r="AO330" s="686" t="n"/>
      <c r="AP330" s="689" t="n"/>
      <c r="AQ330" s="689" t="n"/>
      <c r="AR330" s="689" t="n"/>
      <c r="AS330" s="690" t="n"/>
      <c r="AT330" s="691">
        <f>IF(AJ330&lt;&gt;"",(IF(AV330="到貨","",(AJ330-TODAY()))),"")</f>
        <v/>
      </c>
      <c r="AU330" s="692">
        <f>IF(AO330&lt;&gt;"",(AO330-AE330),"")</f>
        <v/>
      </c>
      <c r="AV330" s="86">
        <f>IF(AI330&lt;&gt;"",IF(AS330&lt;&gt;"","到貨","5次發包中"),IF(AH330&lt;&gt;"",IF(AR330&lt;&gt;"","到貨","4次發包中"),IF(AG330&lt;&gt;"",IF(AQ330&lt;&gt;"","到貨","3次發包中"),IF(AF330&lt;&gt;"",IF(AP330&lt;&gt;"","到貨","2次發包中"),IF(AE330&lt;&gt;"",IF(AO330&lt;&gt;"","到貨","發包中"),"")))))</f>
        <v/>
      </c>
      <c r="AW330" s="86">
        <f>IF(OR($AW$6=Y330),$AW$6,"")</f>
        <v/>
      </c>
      <c r="AX330" s="87">
        <f t="array" ref="AX330">IF(OR(AV330:AW330={"到貨","庫存"}),"完成","")</f>
        <v/>
      </c>
      <c r="AY330" s="92">
        <f>E330*$M$1</f>
        <v/>
      </c>
    </row>
    <row r="331" outlineLevel="1" ht="14.25" customHeight="1">
      <c r="A331" s="67" t="n">
        <v>301</v>
      </c>
      <c r="B331" s="526" t="n"/>
      <c r="C331" s="393" t="n"/>
      <c r="D331" s="427" t="n"/>
      <c r="E331" s="526" t="n"/>
      <c r="F331" s="526" t="n"/>
      <c r="G331" s="527" t="n"/>
      <c r="H331" s="393" t="n"/>
      <c r="I331" s="528" t="n"/>
      <c r="J331" s="528" t="n"/>
      <c r="K331" s="528" t="n"/>
      <c r="L331" s="529" t="n"/>
      <c r="M331" s="529" t="n"/>
      <c r="N331" s="530" t="n"/>
      <c r="O331" s="531" t="n"/>
      <c r="P331" s="527" t="n"/>
      <c r="Q331" s="528" t="n"/>
      <c r="R331" s="528" t="n"/>
      <c r="S331" s="528" t="n"/>
      <c r="T331" s="543" t="n"/>
      <c r="U331" s="534" t="n"/>
      <c r="V331" s="516" t="n"/>
      <c r="W331" s="535" t="n"/>
      <c r="X331" s="536" t="n"/>
      <c r="Y331" s="519" t="n"/>
      <c r="Z331" s="683" t="n"/>
      <c r="AA331" s="684" t="n"/>
      <c r="AB331" s="684" t="n"/>
      <c r="AC331" s="684" t="n"/>
      <c r="AD331" s="685" t="n"/>
      <c r="AE331" s="686" t="n"/>
      <c r="AF331" s="684" t="n"/>
      <c r="AG331" s="687" t="n"/>
      <c r="AH331" s="687" t="n"/>
      <c r="AI331" s="684" t="n"/>
      <c r="AJ331" s="686" t="n"/>
      <c r="AK331" s="687" t="n"/>
      <c r="AL331" s="687" t="n"/>
      <c r="AM331" s="687" t="n"/>
      <c r="AN331" s="688" t="n"/>
      <c r="AO331" s="686" t="n"/>
      <c r="AP331" s="689" t="n"/>
      <c r="AQ331" s="689" t="n"/>
      <c r="AR331" s="689" t="n"/>
      <c r="AS331" s="690" t="n"/>
      <c r="AT331" s="691">
        <f>IF(AJ331&lt;&gt;"",(IF(AV331="到貨","",(AJ331-TODAY()))),"")</f>
        <v/>
      </c>
      <c r="AU331" s="692">
        <f>IF(AO331&lt;&gt;"",(AO331-AE331),"")</f>
        <v/>
      </c>
      <c r="AV331" s="86">
        <f>IF(AI331&lt;&gt;"",IF(AS331&lt;&gt;"","到貨","5次發包中"),IF(AH331&lt;&gt;"",IF(AR331&lt;&gt;"","到貨","4次發包中"),IF(AG331&lt;&gt;"",IF(AQ331&lt;&gt;"","到貨","3次發包中"),IF(AF331&lt;&gt;"",IF(AP331&lt;&gt;"","到貨","2次發包中"),IF(AE331&lt;&gt;"",IF(AO331&lt;&gt;"","到貨","發包中"),"")))))</f>
        <v/>
      </c>
      <c r="AW331" s="86">
        <f>IF(OR($AW$6=Y331),$AW$6,"")</f>
        <v/>
      </c>
      <c r="AX331" s="87">
        <f t="array" ref="AX331">IF(OR(AV331:AW331={"到貨","庫存"}),"完成","")</f>
        <v/>
      </c>
      <c r="AY331" s="92">
        <f>E331*$M$1</f>
        <v/>
      </c>
    </row>
    <row r="332" outlineLevel="1" ht="14.25" customHeight="1">
      <c r="A332" s="67" t="n">
        <v>301</v>
      </c>
      <c r="B332" s="526" t="n"/>
      <c r="C332" s="393" t="n"/>
      <c r="D332" s="427" t="n"/>
      <c r="E332" s="526" t="n"/>
      <c r="F332" s="526" t="n"/>
      <c r="G332" s="527" t="n"/>
      <c r="H332" s="393" t="n"/>
      <c r="I332" s="528" t="n"/>
      <c r="J332" s="528" t="n"/>
      <c r="K332" s="528" t="n"/>
      <c r="L332" s="529" t="n"/>
      <c r="M332" s="529" t="n"/>
      <c r="N332" s="530" t="n"/>
      <c r="O332" s="531" t="n"/>
      <c r="P332" s="527" t="n"/>
      <c r="Q332" s="528" t="n"/>
      <c r="R332" s="528" t="n"/>
      <c r="S332" s="528" t="n"/>
      <c r="T332" s="543" t="n"/>
      <c r="U332" s="534" t="n"/>
      <c r="V332" s="516" t="n"/>
      <c r="W332" s="535" t="n"/>
      <c r="X332" s="536" t="n"/>
      <c r="Y332" s="519" t="n"/>
      <c r="Z332" s="683" t="n"/>
      <c r="AA332" s="684" t="n"/>
      <c r="AB332" s="684" t="n"/>
      <c r="AC332" s="684" t="n"/>
      <c r="AD332" s="685" t="n"/>
      <c r="AE332" s="686" t="n"/>
      <c r="AF332" s="684" t="n"/>
      <c r="AG332" s="687" t="n"/>
      <c r="AH332" s="687" t="n"/>
      <c r="AI332" s="684" t="n"/>
      <c r="AJ332" s="686" t="n"/>
      <c r="AK332" s="687" t="n"/>
      <c r="AL332" s="687" t="n"/>
      <c r="AM332" s="687" t="n"/>
      <c r="AN332" s="688" t="n"/>
      <c r="AO332" s="686" t="n"/>
      <c r="AP332" s="689" t="n"/>
      <c r="AQ332" s="689" t="n"/>
      <c r="AR332" s="689" t="n"/>
      <c r="AS332" s="690" t="n"/>
      <c r="AT332" s="691">
        <f>IF(AJ332&lt;&gt;"",(IF(AV332="到貨","",(AJ332-TODAY()))),"")</f>
        <v/>
      </c>
      <c r="AU332" s="692">
        <f>IF(AO332&lt;&gt;"",(AO332-AE332),"")</f>
        <v/>
      </c>
      <c r="AV332" s="86">
        <f>IF(AI332&lt;&gt;"",IF(AS332&lt;&gt;"","到貨","5次發包中"),IF(AH332&lt;&gt;"",IF(AR332&lt;&gt;"","到貨","4次發包中"),IF(AG332&lt;&gt;"",IF(AQ332&lt;&gt;"","到貨","3次發包中"),IF(AF332&lt;&gt;"",IF(AP332&lt;&gt;"","到貨","2次發包中"),IF(AE332&lt;&gt;"",IF(AO332&lt;&gt;"","到貨","發包中"),"")))))</f>
        <v/>
      </c>
      <c r="AW332" s="86">
        <f>IF(OR($AW$6=Y332),$AW$6,"")</f>
        <v/>
      </c>
      <c r="AX332" s="87">
        <f t="array" ref="AX332">IF(OR(AV332:AW332={"到貨","庫存"}),"完成","")</f>
        <v/>
      </c>
      <c r="AY332" s="92">
        <f>E332*$M$1</f>
        <v/>
      </c>
    </row>
    <row r="333" outlineLevel="1" ht="14.25" customHeight="1">
      <c r="A333" s="67" t="n">
        <v>301</v>
      </c>
      <c r="B333" s="526" t="n"/>
      <c r="C333" s="393" t="n"/>
      <c r="D333" s="427" t="n"/>
      <c r="E333" s="526" t="n"/>
      <c r="F333" s="526" t="n"/>
      <c r="G333" s="527" t="n"/>
      <c r="H333" s="393" t="n"/>
      <c r="I333" s="528" t="n"/>
      <c r="J333" s="528" t="n"/>
      <c r="K333" s="528" t="n"/>
      <c r="L333" s="529" t="n"/>
      <c r="M333" s="529" t="n"/>
      <c r="N333" s="530" t="n"/>
      <c r="O333" s="531" t="n"/>
      <c r="P333" s="527" t="n"/>
      <c r="Q333" s="528" t="n"/>
      <c r="R333" s="528" t="n"/>
      <c r="S333" s="528" t="n"/>
      <c r="T333" s="543" t="n"/>
      <c r="U333" s="534" t="n"/>
      <c r="V333" s="516" t="n"/>
      <c r="W333" s="535" t="n"/>
      <c r="X333" s="536" t="n"/>
      <c r="Y333" s="519" t="n"/>
      <c r="Z333" s="683" t="n"/>
      <c r="AA333" s="684" t="n"/>
      <c r="AB333" s="684" t="n"/>
      <c r="AC333" s="684" t="n"/>
      <c r="AD333" s="685" t="n"/>
      <c r="AE333" s="686" t="n"/>
      <c r="AF333" s="684" t="n"/>
      <c r="AG333" s="687" t="n"/>
      <c r="AH333" s="687" t="n"/>
      <c r="AI333" s="684" t="n"/>
      <c r="AJ333" s="686" t="n"/>
      <c r="AK333" s="687" t="n"/>
      <c r="AL333" s="687" t="n"/>
      <c r="AM333" s="687" t="n"/>
      <c r="AN333" s="688" t="n"/>
      <c r="AO333" s="686" t="n"/>
      <c r="AP333" s="689" t="n"/>
      <c r="AQ333" s="689" t="n"/>
      <c r="AR333" s="689" t="n"/>
      <c r="AS333" s="690" t="n"/>
      <c r="AT333" s="691">
        <f>IF(AJ333&lt;&gt;"",(IF(AV333="到貨","",(AJ333-TODAY()))),"")</f>
        <v/>
      </c>
      <c r="AU333" s="692">
        <f>IF(AO333&lt;&gt;"",(AO333-AE333),"")</f>
        <v/>
      </c>
      <c r="AV333" s="86">
        <f>IF(AI333&lt;&gt;"",IF(AS333&lt;&gt;"","到貨","5次發包中"),IF(AH333&lt;&gt;"",IF(AR333&lt;&gt;"","到貨","4次發包中"),IF(AG333&lt;&gt;"",IF(AQ333&lt;&gt;"","到貨","3次發包中"),IF(AF333&lt;&gt;"",IF(AP333&lt;&gt;"","到貨","2次發包中"),IF(AE333&lt;&gt;"",IF(AO333&lt;&gt;"","到貨","發包中"),"")))))</f>
        <v/>
      </c>
      <c r="AW333" s="86">
        <f>IF(OR($AW$6=Y333),$AW$6,"")</f>
        <v/>
      </c>
      <c r="AX333" s="87">
        <f t="array" ref="AX333">IF(OR(AV333:AW333={"到貨","庫存"}),"完成","")</f>
        <v/>
      </c>
      <c r="AY333" s="92">
        <f>E333*$M$1</f>
        <v/>
      </c>
    </row>
    <row r="334" outlineLevel="1" ht="14.25" customHeight="1">
      <c r="A334" s="67" t="n">
        <v>301</v>
      </c>
      <c r="B334" s="526" t="n"/>
      <c r="C334" s="393" t="n"/>
      <c r="D334" s="427" t="n"/>
      <c r="E334" s="526" t="n"/>
      <c r="F334" s="526" t="n"/>
      <c r="G334" s="527" t="n"/>
      <c r="H334" s="393" t="n"/>
      <c r="I334" s="528" t="n"/>
      <c r="J334" s="528" t="n"/>
      <c r="K334" s="528" t="n"/>
      <c r="L334" s="529" t="n"/>
      <c r="M334" s="529" t="n"/>
      <c r="N334" s="530" t="n"/>
      <c r="O334" s="531" t="n"/>
      <c r="P334" s="527" t="n"/>
      <c r="Q334" s="528" t="n"/>
      <c r="R334" s="528" t="n"/>
      <c r="S334" s="528" t="n"/>
      <c r="T334" s="543" t="n"/>
      <c r="U334" s="534" t="n"/>
      <c r="V334" s="516" t="n"/>
      <c r="W334" s="535" t="n"/>
      <c r="X334" s="536" t="n"/>
      <c r="Y334" s="519" t="n"/>
      <c r="Z334" s="683" t="n"/>
      <c r="AA334" s="684" t="n"/>
      <c r="AB334" s="684" t="n"/>
      <c r="AC334" s="684" t="n"/>
      <c r="AD334" s="685" t="n"/>
      <c r="AE334" s="686" t="n"/>
      <c r="AF334" s="684" t="n"/>
      <c r="AG334" s="687" t="n"/>
      <c r="AH334" s="687" t="n"/>
      <c r="AI334" s="684" t="n"/>
      <c r="AJ334" s="686" t="n"/>
      <c r="AK334" s="687" t="n"/>
      <c r="AL334" s="687" t="n"/>
      <c r="AM334" s="687" t="n"/>
      <c r="AN334" s="688" t="n"/>
      <c r="AO334" s="686" t="n"/>
      <c r="AP334" s="689" t="n"/>
      <c r="AQ334" s="689" t="n"/>
      <c r="AR334" s="689" t="n"/>
      <c r="AS334" s="690" t="n"/>
      <c r="AT334" s="691">
        <f>IF(AJ334&lt;&gt;"",(IF(AV334="到貨","",(AJ334-TODAY()))),"")</f>
        <v/>
      </c>
      <c r="AU334" s="692">
        <f>IF(AO334&lt;&gt;"",(AO334-AE334),"")</f>
        <v/>
      </c>
      <c r="AV334" s="86">
        <f>IF(AI334&lt;&gt;"",IF(AS334&lt;&gt;"","到貨","5次發包中"),IF(AH334&lt;&gt;"",IF(AR334&lt;&gt;"","到貨","4次發包中"),IF(AG334&lt;&gt;"",IF(AQ334&lt;&gt;"","到貨","3次發包中"),IF(AF334&lt;&gt;"",IF(AP334&lt;&gt;"","到貨","2次發包中"),IF(AE334&lt;&gt;"",IF(AO334&lt;&gt;"","到貨","發包中"),"")))))</f>
        <v/>
      </c>
      <c r="AW334" s="86">
        <f>IF(OR($AW$6=Y334),$AW$6,"")</f>
        <v/>
      </c>
      <c r="AX334" s="87">
        <f t="array" ref="AX334">IF(OR(AV334:AW334={"到貨","庫存"}),"完成","")</f>
        <v/>
      </c>
      <c r="AY334" s="92">
        <f>E334*$M$1</f>
        <v/>
      </c>
    </row>
    <row r="335" outlineLevel="1" ht="14.25" customHeight="1">
      <c r="A335" s="67" t="n">
        <v>301</v>
      </c>
      <c r="B335" s="526" t="n"/>
      <c r="C335" s="393" t="n"/>
      <c r="D335" s="427" t="n"/>
      <c r="E335" s="526" t="n"/>
      <c r="F335" s="526" t="n"/>
      <c r="G335" s="527" t="n"/>
      <c r="H335" s="393" t="n"/>
      <c r="I335" s="528" t="n"/>
      <c r="J335" s="528" t="n"/>
      <c r="K335" s="528" t="n"/>
      <c r="L335" s="529" t="n"/>
      <c r="M335" s="529" t="n"/>
      <c r="N335" s="530" t="n"/>
      <c r="O335" s="531" t="n"/>
      <c r="P335" s="527" t="n"/>
      <c r="Q335" s="528" t="n"/>
      <c r="R335" s="528" t="n"/>
      <c r="S335" s="528" t="n"/>
      <c r="T335" s="543" t="n"/>
      <c r="U335" s="534" t="n"/>
      <c r="V335" s="516" t="n"/>
      <c r="W335" s="535" t="n"/>
      <c r="X335" s="536" t="n"/>
      <c r="Y335" s="519" t="n"/>
      <c r="Z335" s="683" t="n"/>
      <c r="AA335" s="684" t="n"/>
      <c r="AB335" s="684" t="n"/>
      <c r="AC335" s="684" t="n"/>
      <c r="AD335" s="685" t="n"/>
      <c r="AE335" s="686" t="n"/>
      <c r="AF335" s="684" t="n"/>
      <c r="AG335" s="687" t="n"/>
      <c r="AH335" s="687" t="n"/>
      <c r="AI335" s="684" t="n"/>
      <c r="AJ335" s="686" t="n"/>
      <c r="AK335" s="687" t="n"/>
      <c r="AL335" s="687" t="n"/>
      <c r="AM335" s="687" t="n"/>
      <c r="AN335" s="688" t="n"/>
      <c r="AO335" s="686" t="n"/>
      <c r="AP335" s="689" t="n"/>
      <c r="AQ335" s="689" t="n"/>
      <c r="AR335" s="689" t="n"/>
      <c r="AS335" s="690" t="n"/>
      <c r="AT335" s="691">
        <f>IF(AJ335&lt;&gt;"",(IF(AV335="到貨","",(AJ335-TODAY()))),"")</f>
        <v/>
      </c>
      <c r="AU335" s="692">
        <f>IF(AO335&lt;&gt;"",(AO335-AE335),"")</f>
        <v/>
      </c>
      <c r="AV335" s="86">
        <f>IF(AI335&lt;&gt;"",IF(AS335&lt;&gt;"","到貨","5次發包中"),IF(AH335&lt;&gt;"",IF(AR335&lt;&gt;"","到貨","4次發包中"),IF(AG335&lt;&gt;"",IF(AQ335&lt;&gt;"","到貨","3次發包中"),IF(AF335&lt;&gt;"",IF(AP335&lt;&gt;"","到貨","2次發包中"),IF(AE335&lt;&gt;"",IF(AO335&lt;&gt;"","到貨","發包中"),"")))))</f>
        <v/>
      </c>
      <c r="AW335" s="86">
        <f>IF(OR($AW$6=Y335),$AW$6,"")</f>
        <v/>
      </c>
      <c r="AX335" s="87">
        <f t="array" ref="AX335">IF(OR(AV335:AW335={"到貨","庫存"}),"完成","")</f>
        <v/>
      </c>
      <c r="AY335" s="92">
        <f>E335*$M$1</f>
        <v/>
      </c>
    </row>
    <row r="336" outlineLevel="1" ht="14.25" customHeight="1">
      <c r="A336" s="67" t="n">
        <v>301</v>
      </c>
      <c r="B336" s="526" t="n"/>
      <c r="C336" s="393" t="n"/>
      <c r="D336" s="427" t="n"/>
      <c r="E336" s="526" t="n"/>
      <c r="F336" s="526" t="n"/>
      <c r="G336" s="527" t="n"/>
      <c r="H336" s="393" t="n"/>
      <c r="I336" s="528" t="n"/>
      <c r="J336" s="528" t="n"/>
      <c r="K336" s="528" t="n"/>
      <c r="L336" s="529" t="n"/>
      <c r="M336" s="529" t="n"/>
      <c r="N336" s="530" t="n"/>
      <c r="O336" s="531" t="n"/>
      <c r="P336" s="527" t="n"/>
      <c r="Q336" s="528" t="n"/>
      <c r="R336" s="528" t="n"/>
      <c r="S336" s="528" t="n"/>
      <c r="T336" s="543" t="n"/>
      <c r="U336" s="534" t="n"/>
      <c r="V336" s="516" t="n"/>
      <c r="W336" s="535" t="n"/>
      <c r="X336" s="536" t="n"/>
      <c r="Y336" s="519" t="n"/>
      <c r="Z336" s="683" t="n"/>
      <c r="AA336" s="684" t="n"/>
      <c r="AB336" s="684" t="n"/>
      <c r="AC336" s="684" t="n"/>
      <c r="AD336" s="685" t="n"/>
      <c r="AE336" s="686" t="n"/>
      <c r="AF336" s="684" t="n"/>
      <c r="AG336" s="687" t="n"/>
      <c r="AH336" s="687" t="n"/>
      <c r="AI336" s="684" t="n"/>
      <c r="AJ336" s="686" t="n"/>
      <c r="AK336" s="687" t="n"/>
      <c r="AL336" s="687" t="n"/>
      <c r="AM336" s="687" t="n"/>
      <c r="AN336" s="688" t="n"/>
      <c r="AO336" s="686" t="n"/>
      <c r="AP336" s="689" t="n"/>
      <c r="AQ336" s="689" t="n"/>
      <c r="AR336" s="689" t="n"/>
      <c r="AS336" s="690" t="n"/>
      <c r="AT336" s="691">
        <f>IF(AJ336&lt;&gt;"",(IF(AV336="到貨","",(AJ336-TODAY()))),"")</f>
        <v/>
      </c>
      <c r="AU336" s="692">
        <f>IF(AO336&lt;&gt;"",(AO336-AE336),"")</f>
        <v/>
      </c>
      <c r="AV336" s="86">
        <f>IF(AI336&lt;&gt;"",IF(AS336&lt;&gt;"","到貨","5次發包中"),IF(AH336&lt;&gt;"",IF(AR336&lt;&gt;"","到貨","4次發包中"),IF(AG336&lt;&gt;"",IF(AQ336&lt;&gt;"","到貨","3次發包中"),IF(AF336&lt;&gt;"",IF(AP336&lt;&gt;"","到貨","2次發包中"),IF(AE336&lt;&gt;"",IF(AO336&lt;&gt;"","到貨","發包中"),"")))))</f>
        <v/>
      </c>
      <c r="AW336" s="86">
        <f>IF(OR($AW$6=Y336),$AW$6,"")</f>
        <v/>
      </c>
      <c r="AX336" s="87">
        <f t="array" ref="AX336">IF(OR(AV336:AW336={"到貨","庫存"}),"完成","")</f>
        <v/>
      </c>
      <c r="AY336" s="92">
        <f>E336*$M$1</f>
        <v/>
      </c>
    </row>
    <row r="337" outlineLevel="1" ht="14.25" customHeight="1">
      <c r="A337" s="67" t="n">
        <v>301</v>
      </c>
      <c r="B337" s="526" t="n"/>
      <c r="C337" s="393" t="n"/>
      <c r="D337" s="427" t="n"/>
      <c r="E337" s="526" t="n"/>
      <c r="F337" s="526" t="n"/>
      <c r="G337" s="527" t="n"/>
      <c r="H337" s="393" t="n"/>
      <c r="I337" s="528" t="n"/>
      <c r="J337" s="528" t="n"/>
      <c r="K337" s="528" t="n"/>
      <c r="L337" s="529" t="n"/>
      <c r="M337" s="529" t="n"/>
      <c r="N337" s="530" t="n"/>
      <c r="O337" s="531" t="n"/>
      <c r="P337" s="527" t="n"/>
      <c r="Q337" s="528" t="n"/>
      <c r="R337" s="528" t="n"/>
      <c r="S337" s="528" t="n"/>
      <c r="T337" s="543" t="n"/>
      <c r="U337" s="534" t="n"/>
      <c r="V337" s="516" t="n"/>
      <c r="W337" s="535" t="n"/>
      <c r="X337" s="536" t="n"/>
      <c r="Y337" s="519" t="n"/>
      <c r="Z337" s="683" t="n"/>
      <c r="AA337" s="684" t="n"/>
      <c r="AB337" s="684" t="n"/>
      <c r="AC337" s="684" t="n"/>
      <c r="AD337" s="685" t="n"/>
      <c r="AE337" s="686" t="n"/>
      <c r="AF337" s="684" t="n"/>
      <c r="AG337" s="687" t="n"/>
      <c r="AH337" s="687" t="n"/>
      <c r="AI337" s="684" t="n"/>
      <c r="AJ337" s="686" t="n"/>
      <c r="AK337" s="687" t="n"/>
      <c r="AL337" s="687" t="n"/>
      <c r="AM337" s="687" t="n"/>
      <c r="AN337" s="688" t="n"/>
      <c r="AO337" s="686" t="n"/>
      <c r="AP337" s="689" t="n"/>
      <c r="AQ337" s="689" t="n"/>
      <c r="AR337" s="689" t="n"/>
      <c r="AS337" s="690" t="n"/>
      <c r="AT337" s="691">
        <f>IF(AJ337&lt;&gt;"",(IF(AV337="到貨","",(AJ337-TODAY()))),"")</f>
        <v/>
      </c>
      <c r="AU337" s="692">
        <f>IF(AO337&lt;&gt;"",(AO337-AE337),"")</f>
        <v/>
      </c>
      <c r="AV337" s="86">
        <f>IF(AI337&lt;&gt;"",IF(AS337&lt;&gt;"","到貨","5次發包中"),IF(AH337&lt;&gt;"",IF(AR337&lt;&gt;"","到貨","4次發包中"),IF(AG337&lt;&gt;"",IF(AQ337&lt;&gt;"","到貨","3次發包中"),IF(AF337&lt;&gt;"",IF(AP337&lt;&gt;"","到貨","2次發包中"),IF(AE337&lt;&gt;"",IF(AO337&lt;&gt;"","到貨","發包中"),"")))))</f>
        <v/>
      </c>
      <c r="AW337" s="86">
        <f>IF(OR($AW$6=Y337),$AW$6,"")</f>
        <v/>
      </c>
      <c r="AX337" s="87">
        <f t="array" ref="AX337">IF(OR(AV337:AW337={"到貨","庫存"}),"完成","")</f>
        <v/>
      </c>
      <c r="AY337" s="92">
        <f>E337*$M$1</f>
        <v/>
      </c>
    </row>
    <row r="338" outlineLevel="1" ht="14.25" customHeight="1">
      <c r="A338" s="67" t="n">
        <v>301</v>
      </c>
      <c r="B338" s="526" t="n"/>
      <c r="C338" s="393" t="n"/>
      <c r="D338" s="427" t="n"/>
      <c r="E338" s="526" t="n"/>
      <c r="F338" s="526" t="n"/>
      <c r="G338" s="527" t="n"/>
      <c r="H338" s="393" t="n"/>
      <c r="I338" s="528" t="n"/>
      <c r="J338" s="528" t="n"/>
      <c r="K338" s="528" t="n"/>
      <c r="L338" s="529" t="n"/>
      <c r="M338" s="529" t="n"/>
      <c r="N338" s="530" t="n"/>
      <c r="O338" s="531" t="n"/>
      <c r="P338" s="527" t="n"/>
      <c r="Q338" s="528" t="n"/>
      <c r="R338" s="528" t="n"/>
      <c r="S338" s="528" t="n"/>
      <c r="T338" s="543" t="n"/>
      <c r="U338" s="534" t="n"/>
      <c r="V338" s="516" t="n"/>
      <c r="W338" s="535" t="n"/>
      <c r="X338" s="536" t="n"/>
      <c r="Y338" s="519" t="n"/>
      <c r="Z338" s="683" t="n"/>
      <c r="AA338" s="684" t="n"/>
      <c r="AB338" s="684" t="n"/>
      <c r="AC338" s="684" t="n"/>
      <c r="AD338" s="685" t="n"/>
      <c r="AE338" s="686" t="n"/>
      <c r="AF338" s="684" t="n"/>
      <c r="AG338" s="687" t="n"/>
      <c r="AH338" s="687" t="n"/>
      <c r="AI338" s="684" t="n"/>
      <c r="AJ338" s="686" t="n"/>
      <c r="AK338" s="687" t="n"/>
      <c r="AL338" s="687" t="n"/>
      <c r="AM338" s="687" t="n"/>
      <c r="AN338" s="688" t="n"/>
      <c r="AO338" s="686" t="n"/>
      <c r="AP338" s="689" t="n"/>
      <c r="AQ338" s="689" t="n"/>
      <c r="AR338" s="689" t="n"/>
      <c r="AS338" s="690" t="n"/>
      <c r="AT338" s="691">
        <f>IF(AJ338&lt;&gt;"",(IF(AV338="到貨","",(AJ338-TODAY()))),"")</f>
        <v/>
      </c>
      <c r="AU338" s="692">
        <f>IF(AO338&lt;&gt;"",(AO338-AE338),"")</f>
        <v/>
      </c>
      <c r="AV338" s="86">
        <f>IF(AI338&lt;&gt;"",IF(AS338&lt;&gt;"","到貨","5次發包中"),IF(AH338&lt;&gt;"",IF(AR338&lt;&gt;"","到貨","4次發包中"),IF(AG338&lt;&gt;"",IF(AQ338&lt;&gt;"","到貨","3次發包中"),IF(AF338&lt;&gt;"",IF(AP338&lt;&gt;"","到貨","2次發包中"),IF(AE338&lt;&gt;"",IF(AO338&lt;&gt;"","到貨","發包中"),"")))))</f>
        <v/>
      </c>
      <c r="AW338" s="86">
        <f>IF(OR($AW$6=Y338),$AW$6,"")</f>
        <v/>
      </c>
      <c r="AX338" s="87">
        <f t="array" ref="AX338">IF(OR(AV338:AW338={"到貨","庫存"}),"完成","")</f>
        <v/>
      </c>
      <c r="AY338" s="92">
        <f>E338*$M$1</f>
        <v/>
      </c>
    </row>
    <row r="339" outlineLevel="1" ht="14.25" customHeight="1">
      <c r="A339" s="67" t="n">
        <v>301</v>
      </c>
      <c r="B339" s="526" t="n"/>
      <c r="C339" s="393" t="n"/>
      <c r="D339" s="427" t="n"/>
      <c r="E339" s="526" t="n"/>
      <c r="F339" s="526" t="n"/>
      <c r="G339" s="527" t="n"/>
      <c r="H339" s="393" t="n"/>
      <c r="I339" s="528" t="n"/>
      <c r="J339" s="528" t="n"/>
      <c r="K339" s="528" t="n"/>
      <c r="L339" s="529" t="n"/>
      <c r="M339" s="529" t="n"/>
      <c r="N339" s="530" t="n"/>
      <c r="O339" s="531" t="n"/>
      <c r="P339" s="527" t="n"/>
      <c r="Q339" s="528" t="n"/>
      <c r="R339" s="528" t="n"/>
      <c r="S339" s="528" t="n"/>
      <c r="T339" s="543" t="n"/>
      <c r="U339" s="534" t="n"/>
      <c r="V339" s="516" t="n"/>
      <c r="W339" s="535" t="n"/>
      <c r="X339" s="536" t="n"/>
      <c r="Y339" s="519" t="n"/>
      <c r="Z339" s="683" t="n"/>
      <c r="AA339" s="684" t="n"/>
      <c r="AB339" s="684" t="n"/>
      <c r="AC339" s="684" t="n"/>
      <c r="AD339" s="685" t="n"/>
      <c r="AE339" s="686" t="n"/>
      <c r="AF339" s="684" t="n"/>
      <c r="AG339" s="687" t="n"/>
      <c r="AH339" s="687" t="n"/>
      <c r="AI339" s="684" t="n"/>
      <c r="AJ339" s="686" t="n"/>
      <c r="AK339" s="687" t="n"/>
      <c r="AL339" s="687" t="n"/>
      <c r="AM339" s="687" t="n"/>
      <c r="AN339" s="688" t="n"/>
      <c r="AO339" s="686" t="n"/>
      <c r="AP339" s="689" t="n"/>
      <c r="AQ339" s="689" t="n"/>
      <c r="AR339" s="689" t="n"/>
      <c r="AS339" s="690" t="n"/>
      <c r="AT339" s="691">
        <f>IF(AJ339&lt;&gt;"",(IF(AV339="到貨","",(AJ339-TODAY()))),"")</f>
        <v/>
      </c>
      <c r="AU339" s="692">
        <f>IF(AO339&lt;&gt;"",(AO339-AE339),"")</f>
        <v/>
      </c>
      <c r="AV339" s="86">
        <f>IF(AI339&lt;&gt;"",IF(AS339&lt;&gt;"","到貨","5次發包中"),IF(AH339&lt;&gt;"",IF(AR339&lt;&gt;"","到貨","4次發包中"),IF(AG339&lt;&gt;"",IF(AQ339&lt;&gt;"","到貨","3次發包中"),IF(AF339&lt;&gt;"",IF(AP339&lt;&gt;"","到貨","2次發包中"),IF(AE339&lt;&gt;"",IF(AO339&lt;&gt;"","到貨","發包中"),"")))))</f>
        <v/>
      </c>
      <c r="AW339" s="86">
        <f>IF(OR($AW$6=Y339),$AW$6,"")</f>
        <v/>
      </c>
      <c r="AX339" s="87">
        <f t="array" ref="AX339">IF(OR(AV339:AW339={"到貨","庫存"}),"完成","")</f>
        <v/>
      </c>
      <c r="AY339" s="92">
        <f>E339*$M$1</f>
        <v/>
      </c>
    </row>
    <row r="340" outlineLevel="1" ht="14.25" customHeight="1">
      <c r="A340" s="67" t="n">
        <v>301</v>
      </c>
      <c r="B340" s="526" t="n"/>
      <c r="C340" s="393" t="n"/>
      <c r="D340" s="427" t="n"/>
      <c r="E340" s="526" t="n"/>
      <c r="F340" s="526" t="n"/>
      <c r="G340" s="527" t="n"/>
      <c r="H340" s="393" t="n"/>
      <c r="I340" s="528" t="n"/>
      <c r="J340" s="528" t="n"/>
      <c r="K340" s="528" t="n"/>
      <c r="L340" s="529" t="n"/>
      <c r="M340" s="529" t="n"/>
      <c r="N340" s="530" t="n"/>
      <c r="O340" s="531" t="n"/>
      <c r="P340" s="527" t="n"/>
      <c r="Q340" s="528" t="n"/>
      <c r="R340" s="528" t="n"/>
      <c r="S340" s="528" t="n"/>
      <c r="T340" s="543" t="n"/>
      <c r="U340" s="534" t="n"/>
      <c r="V340" s="516" t="n"/>
      <c r="W340" s="535" t="n"/>
      <c r="X340" s="536" t="n"/>
      <c r="Y340" s="519" t="n"/>
      <c r="Z340" s="683" t="n"/>
      <c r="AA340" s="684" t="n"/>
      <c r="AB340" s="684" t="n"/>
      <c r="AC340" s="684" t="n"/>
      <c r="AD340" s="685" t="n"/>
      <c r="AE340" s="686" t="n"/>
      <c r="AF340" s="684" t="n"/>
      <c r="AG340" s="687" t="n"/>
      <c r="AH340" s="687" t="n"/>
      <c r="AI340" s="684" t="n"/>
      <c r="AJ340" s="686" t="n"/>
      <c r="AK340" s="687" t="n"/>
      <c r="AL340" s="687" t="n"/>
      <c r="AM340" s="687" t="n"/>
      <c r="AN340" s="688" t="n"/>
      <c r="AO340" s="686" t="n"/>
      <c r="AP340" s="689" t="n"/>
      <c r="AQ340" s="689" t="n"/>
      <c r="AR340" s="689" t="n"/>
      <c r="AS340" s="690" t="n"/>
      <c r="AT340" s="691">
        <f>IF(AJ340&lt;&gt;"",(IF(AV340="到貨","",(AJ340-TODAY()))),"")</f>
        <v/>
      </c>
      <c r="AU340" s="692">
        <f>IF(AO340&lt;&gt;"",(AO340-AE340),"")</f>
        <v/>
      </c>
      <c r="AV340" s="86">
        <f>IF(AI340&lt;&gt;"",IF(AS340&lt;&gt;"","到貨","5次發包中"),IF(AH340&lt;&gt;"",IF(AR340&lt;&gt;"","到貨","4次發包中"),IF(AG340&lt;&gt;"",IF(AQ340&lt;&gt;"","到貨","3次發包中"),IF(AF340&lt;&gt;"",IF(AP340&lt;&gt;"","到貨","2次發包中"),IF(AE340&lt;&gt;"",IF(AO340&lt;&gt;"","到貨","發包中"),"")))))</f>
        <v/>
      </c>
      <c r="AW340" s="86">
        <f>IF(OR($AW$6=Y340),$AW$6,"")</f>
        <v/>
      </c>
      <c r="AX340" s="87">
        <f t="array" ref="AX340">IF(OR(AV340:AW340={"到貨","庫存"}),"完成","")</f>
        <v/>
      </c>
      <c r="AY340" s="92">
        <f>E340*$M$1</f>
        <v/>
      </c>
    </row>
    <row r="341" outlineLevel="1" ht="14.25" customHeight="1">
      <c r="A341" s="67" t="n">
        <v>301</v>
      </c>
      <c r="B341" s="526" t="n"/>
      <c r="C341" s="393" t="n"/>
      <c r="D341" s="427" t="n"/>
      <c r="E341" s="526" t="n"/>
      <c r="F341" s="526" t="n"/>
      <c r="G341" s="527" t="n"/>
      <c r="H341" s="393" t="n"/>
      <c r="I341" s="528" t="n"/>
      <c r="J341" s="528" t="n"/>
      <c r="K341" s="528" t="n"/>
      <c r="L341" s="529" t="n"/>
      <c r="M341" s="529" t="n"/>
      <c r="N341" s="530" t="n"/>
      <c r="O341" s="531" t="n"/>
      <c r="P341" s="527" t="n"/>
      <c r="Q341" s="528" t="n"/>
      <c r="R341" s="528" t="n"/>
      <c r="S341" s="528" t="n"/>
      <c r="T341" s="543" t="n"/>
      <c r="U341" s="534" t="n"/>
      <c r="V341" s="516" t="n"/>
      <c r="W341" s="535" t="n"/>
      <c r="X341" s="536" t="n"/>
      <c r="Y341" s="519" t="n"/>
      <c r="Z341" s="683" t="n"/>
      <c r="AA341" s="684" t="n"/>
      <c r="AB341" s="684" t="n"/>
      <c r="AC341" s="684" t="n"/>
      <c r="AD341" s="685" t="n"/>
      <c r="AE341" s="686" t="n"/>
      <c r="AF341" s="684" t="n"/>
      <c r="AG341" s="687" t="n"/>
      <c r="AH341" s="687" t="n"/>
      <c r="AI341" s="684" t="n"/>
      <c r="AJ341" s="686" t="n"/>
      <c r="AK341" s="687" t="n"/>
      <c r="AL341" s="687" t="n"/>
      <c r="AM341" s="687" t="n"/>
      <c r="AN341" s="688" t="n"/>
      <c r="AO341" s="686" t="n"/>
      <c r="AP341" s="689" t="n"/>
      <c r="AQ341" s="689" t="n"/>
      <c r="AR341" s="689" t="n"/>
      <c r="AS341" s="690" t="n"/>
      <c r="AT341" s="691">
        <f>IF(AJ341&lt;&gt;"",(IF(AV341="到貨","",(AJ341-TODAY()))),"")</f>
        <v/>
      </c>
      <c r="AU341" s="692">
        <f>IF(AO341&lt;&gt;"",(AO341-AE341),"")</f>
        <v/>
      </c>
      <c r="AV341" s="86">
        <f>IF(AI341&lt;&gt;"",IF(AS341&lt;&gt;"","到貨","5次發包中"),IF(AH341&lt;&gt;"",IF(AR341&lt;&gt;"","到貨","4次發包中"),IF(AG341&lt;&gt;"",IF(AQ341&lt;&gt;"","到貨","3次發包中"),IF(AF341&lt;&gt;"",IF(AP341&lt;&gt;"","到貨","2次發包中"),IF(AE341&lt;&gt;"",IF(AO341&lt;&gt;"","到貨","發包中"),"")))))</f>
        <v/>
      </c>
      <c r="AW341" s="86">
        <f>IF(OR($AW$6=Y341),$AW$6,"")</f>
        <v/>
      </c>
      <c r="AX341" s="87">
        <f t="array" ref="AX341">IF(OR(AV341:AW341={"到貨","庫存"}),"完成","")</f>
        <v/>
      </c>
      <c r="AY341" s="92">
        <f>E341*$M$1</f>
        <v/>
      </c>
    </row>
    <row r="342" outlineLevel="1" ht="14.25" customHeight="1">
      <c r="A342" s="67" t="n">
        <v>301</v>
      </c>
      <c r="B342" s="526" t="n"/>
      <c r="C342" s="393" t="n"/>
      <c r="D342" s="427" t="n"/>
      <c r="E342" s="526" t="n"/>
      <c r="F342" s="526" t="n"/>
      <c r="G342" s="527" t="n"/>
      <c r="H342" s="393" t="n"/>
      <c r="I342" s="528" t="n"/>
      <c r="J342" s="528" t="n"/>
      <c r="K342" s="528" t="n"/>
      <c r="L342" s="529" t="n"/>
      <c r="M342" s="529" t="n"/>
      <c r="N342" s="530" t="n"/>
      <c r="O342" s="531" t="n"/>
      <c r="P342" s="527" t="n"/>
      <c r="Q342" s="528" t="n"/>
      <c r="R342" s="528" t="n"/>
      <c r="S342" s="528" t="n"/>
      <c r="T342" s="543" t="n"/>
      <c r="U342" s="534" t="n"/>
      <c r="V342" s="516" t="n"/>
      <c r="W342" s="535" t="n"/>
      <c r="X342" s="536" t="n"/>
      <c r="Y342" s="519" t="n"/>
      <c r="Z342" s="683" t="n"/>
      <c r="AA342" s="684" t="n"/>
      <c r="AB342" s="684" t="n"/>
      <c r="AC342" s="684" t="n"/>
      <c r="AD342" s="685" t="n"/>
      <c r="AE342" s="686" t="n"/>
      <c r="AF342" s="684" t="n"/>
      <c r="AG342" s="687" t="n"/>
      <c r="AH342" s="687" t="n"/>
      <c r="AI342" s="684" t="n"/>
      <c r="AJ342" s="686" t="n"/>
      <c r="AK342" s="687" t="n"/>
      <c r="AL342" s="687" t="n"/>
      <c r="AM342" s="687" t="n"/>
      <c r="AN342" s="688" t="n"/>
      <c r="AO342" s="686" t="n"/>
      <c r="AP342" s="689" t="n"/>
      <c r="AQ342" s="689" t="n"/>
      <c r="AR342" s="689" t="n"/>
      <c r="AS342" s="690" t="n"/>
      <c r="AT342" s="691">
        <f>IF(AJ342&lt;&gt;"",(IF(AV342="到貨","",(AJ342-TODAY()))),"")</f>
        <v/>
      </c>
      <c r="AU342" s="692">
        <f>IF(AO342&lt;&gt;"",(AO342-AE342),"")</f>
        <v/>
      </c>
      <c r="AV342" s="86">
        <f>IF(AI342&lt;&gt;"",IF(AS342&lt;&gt;"","到貨","5次發包中"),IF(AH342&lt;&gt;"",IF(AR342&lt;&gt;"","到貨","4次發包中"),IF(AG342&lt;&gt;"",IF(AQ342&lt;&gt;"","到貨","3次發包中"),IF(AF342&lt;&gt;"",IF(AP342&lt;&gt;"","到貨","2次發包中"),IF(AE342&lt;&gt;"",IF(AO342&lt;&gt;"","到貨","發包中"),"")))))</f>
        <v/>
      </c>
      <c r="AW342" s="86">
        <f>IF(OR($AW$6=Y342),$AW$6,"")</f>
        <v/>
      </c>
      <c r="AX342" s="87">
        <f t="array" ref="AX342">IF(OR(AV342:AW342={"到貨","庫存"}),"完成","")</f>
        <v/>
      </c>
      <c r="AY342" s="92">
        <f>E342*$M$1</f>
        <v/>
      </c>
    </row>
    <row r="343" outlineLevel="1" ht="14.25" customHeight="1">
      <c r="A343" s="67" t="n">
        <v>301</v>
      </c>
      <c r="B343" s="526" t="n"/>
      <c r="C343" s="393" t="n"/>
      <c r="D343" s="427" t="n"/>
      <c r="E343" s="526" t="n"/>
      <c r="F343" s="526" t="n"/>
      <c r="G343" s="527" t="n"/>
      <c r="H343" s="393" t="n"/>
      <c r="I343" s="528" t="n"/>
      <c r="J343" s="528" t="n"/>
      <c r="K343" s="528" t="n"/>
      <c r="L343" s="529" t="n"/>
      <c r="M343" s="529" t="n"/>
      <c r="N343" s="530" t="n"/>
      <c r="O343" s="531" t="n"/>
      <c r="P343" s="527" t="n"/>
      <c r="Q343" s="528" t="n"/>
      <c r="R343" s="528" t="n"/>
      <c r="S343" s="528" t="n"/>
      <c r="T343" s="543" t="n"/>
      <c r="U343" s="534" t="n"/>
      <c r="V343" s="516" t="n"/>
      <c r="W343" s="535" t="n"/>
      <c r="X343" s="536" t="n"/>
      <c r="Y343" s="519" t="n"/>
      <c r="Z343" s="683" t="n"/>
      <c r="AA343" s="684" t="n"/>
      <c r="AB343" s="684" t="n"/>
      <c r="AC343" s="684" t="n"/>
      <c r="AD343" s="685" t="n"/>
      <c r="AE343" s="686" t="n"/>
      <c r="AF343" s="684" t="n"/>
      <c r="AG343" s="687" t="n"/>
      <c r="AH343" s="687" t="n"/>
      <c r="AI343" s="684" t="n"/>
      <c r="AJ343" s="686" t="n"/>
      <c r="AK343" s="687" t="n"/>
      <c r="AL343" s="687" t="n"/>
      <c r="AM343" s="687" t="n"/>
      <c r="AN343" s="688" t="n"/>
      <c r="AO343" s="686" t="n"/>
      <c r="AP343" s="689" t="n"/>
      <c r="AQ343" s="689" t="n"/>
      <c r="AR343" s="689" t="n"/>
      <c r="AS343" s="690" t="n"/>
      <c r="AT343" s="691">
        <f>IF(AJ343&lt;&gt;"",(IF(AV343="到貨","",(AJ343-TODAY()))),"")</f>
        <v/>
      </c>
      <c r="AU343" s="692">
        <f>IF(AO343&lt;&gt;"",(AO343-AE343),"")</f>
        <v/>
      </c>
      <c r="AV343" s="86">
        <f>IF(AI343&lt;&gt;"",IF(AS343&lt;&gt;"","到貨","5次發包中"),IF(AH343&lt;&gt;"",IF(AR343&lt;&gt;"","到貨","4次發包中"),IF(AG343&lt;&gt;"",IF(AQ343&lt;&gt;"","到貨","3次發包中"),IF(AF343&lt;&gt;"",IF(AP343&lt;&gt;"","到貨","2次發包中"),IF(AE343&lt;&gt;"",IF(AO343&lt;&gt;"","到貨","發包中"),"")))))</f>
        <v/>
      </c>
      <c r="AW343" s="86">
        <f>IF(OR($AW$6=Y343),$AW$6,"")</f>
        <v/>
      </c>
      <c r="AX343" s="87">
        <f t="array" ref="AX343">IF(OR(AV343:AW343={"到貨","庫存"}),"完成","")</f>
        <v/>
      </c>
      <c r="AY343" s="92">
        <f>E343*$M$1</f>
        <v/>
      </c>
    </row>
    <row r="344" outlineLevel="1" ht="14.25" customHeight="1">
      <c r="A344" s="67" t="n">
        <v>301</v>
      </c>
      <c r="B344" s="526" t="n"/>
      <c r="C344" s="393" t="n"/>
      <c r="D344" s="427" t="n"/>
      <c r="E344" s="526" t="n"/>
      <c r="F344" s="526" t="n"/>
      <c r="G344" s="527" t="n"/>
      <c r="H344" s="393" t="n"/>
      <c r="I344" s="528" t="n"/>
      <c r="J344" s="528" t="n"/>
      <c r="K344" s="528" t="n"/>
      <c r="L344" s="529" t="n"/>
      <c r="M344" s="529" t="n"/>
      <c r="N344" s="530" t="n"/>
      <c r="O344" s="531" t="n"/>
      <c r="P344" s="527" t="n"/>
      <c r="Q344" s="528" t="n"/>
      <c r="R344" s="528" t="n"/>
      <c r="S344" s="528" t="n"/>
      <c r="T344" s="543" t="n"/>
      <c r="U344" s="534" t="n"/>
      <c r="V344" s="516" t="n"/>
      <c r="W344" s="535" t="n"/>
      <c r="X344" s="536" t="n"/>
      <c r="Y344" s="519" t="n"/>
      <c r="Z344" s="683" t="n"/>
      <c r="AA344" s="684" t="n"/>
      <c r="AB344" s="684" t="n"/>
      <c r="AC344" s="684" t="n"/>
      <c r="AD344" s="685" t="n"/>
      <c r="AE344" s="686" t="n"/>
      <c r="AF344" s="684" t="n"/>
      <c r="AG344" s="687" t="n"/>
      <c r="AH344" s="687" t="n"/>
      <c r="AI344" s="684" t="n"/>
      <c r="AJ344" s="686" t="n"/>
      <c r="AK344" s="687" t="n"/>
      <c r="AL344" s="687" t="n"/>
      <c r="AM344" s="687" t="n"/>
      <c r="AN344" s="688" t="n"/>
      <c r="AO344" s="686" t="n"/>
      <c r="AP344" s="689" t="n"/>
      <c r="AQ344" s="689" t="n"/>
      <c r="AR344" s="689" t="n"/>
      <c r="AS344" s="690" t="n"/>
      <c r="AT344" s="691">
        <f>IF(AJ344&lt;&gt;"",(IF(AV344="到貨","",(AJ344-TODAY()))),"")</f>
        <v/>
      </c>
      <c r="AU344" s="692">
        <f>IF(AO344&lt;&gt;"",(AO344-AE344),"")</f>
        <v/>
      </c>
      <c r="AV344" s="86">
        <f>IF(AI344&lt;&gt;"",IF(AS344&lt;&gt;"","到貨","5次發包中"),IF(AH344&lt;&gt;"",IF(AR344&lt;&gt;"","到貨","4次發包中"),IF(AG344&lt;&gt;"",IF(AQ344&lt;&gt;"","到貨","3次發包中"),IF(AF344&lt;&gt;"",IF(AP344&lt;&gt;"","到貨","2次發包中"),IF(AE344&lt;&gt;"",IF(AO344&lt;&gt;"","到貨","發包中"),"")))))</f>
        <v/>
      </c>
      <c r="AW344" s="86">
        <f>IF(OR($AW$6=Y344),$AW$6,"")</f>
        <v/>
      </c>
      <c r="AX344" s="87">
        <f t="array" ref="AX344">IF(OR(AV344:AW344={"到貨","庫存"}),"完成","")</f>
        <v/>
      </c>
      <c r="AY344" s="92">
        <f>E344*$M$1</f>
        <v/>
      </c>
    </row>
    <row r="345" outlineLevel="1" ht="14.25" customHeight="1">
      <c r="A345" s="67" t="n">
        <v>301</v>
      </c>
      <c r="B345" s="526" t="n"/>
      <c r="C345" s="393" t="n"/>
      <c r="D345" s="427" t="n"/>
      <c r="E345" s="526" t="n"/>
      <c r="F345" s="526" t="n"/>
      <c r="G345" s="527" t="n"/>
      <c r="H345" s="393" t="n"/>
      <c r="I345" s="528" t="n"/>
      <c r="J345" s="528" t="n"/>
      <c r="K345" s="528" t="n"/>
      <c r="L345" s="529" t="n"/>
      <c r="M345" s="529" t="n"/>
      <c r="N345" s="530" t="n"/>
      <c r="O345" s="531" t="n"/>
      <c r="P345" s="527" t="n"/>
      <c r="Q345" s="528" t="n"/>
      <c r="R345" s="528" t="n"/>
      <c r="S345" s="528" t="n"/>
      <c r="T345" s="543" t="n"/>
      <c r="U345" s="534" t="n"/>
      <c r="V345" s="516" t="n"/>
      <c r="W345" s="535" t="n"/>
      <c r="X345" s="536" t="n"/>
      <c r="Y345" s="519" t="n"/>
      <c r="Z345" s="683" t="n"/>
      <c r="AA345" s="684" t="n"/>
      <c r="AB345" s="684" t="n"/>
      <c r="AC345" s="684" t="n"/>
      <c r="AD345" s="685" t="n"/>
      <c r="AE345" s="686" t="n"/>
      <c r="AF345" s="684" t="n"/>
      <c r="AG345" s="687" t="n"/>
      <c r="AH345" s="687" t="n"/>
      <c r="AI345" s="684" t="n"/>
      <c r="AJ345" s="686" t="n"/>
      <c r="AK345" s="687" t="n"/>
      <c r="AL345" s="687" t="n"/>
      <c r="AM345" s="687" t="n"/>
      <c r="AN345" s="688" t="n"/>
      <c r="AO345" s="686" t="n"/>
      <c r="AP345" s="689" t="n"/>
      <c r="AQ345" s="689" t="n"/>
      <c r="AR345" s="689" t="n"/>
      <c r="AS345" s="690" t="n"/>
      <c r="AT345" s="691">
        <f>IF(AJ345&lt;&gt;"",(IF(AV345="到貨","",(AJ345-TODAY()))),"")</f>
        <v/>
      </c>
      <c r="AU345" s="692">
        <f>IF(AO345&lt;&gt;"",(AO345-AE345),"")</f>
        <v/>
      </c>
      <c r="AV345" s="86">
        <f>IF(AI345&lt;&gt;"",IF(AS345&lt;&gt;"","到貨","5次發包中"),IF(AH345&lt;&gt;"",IF(AR345&lt;&gt;"","到貨","4次發包中"),IF(AG345&lt;&gt;"",IF(AQ345&lt;&gt;"","到貨","3次發包中"),IF(AF345&lt;&gt;"",IF(AP345&lt;&gt;"","到貨","2次發包中"),IF(AE345&lt;&gt;"",IF(AO345&lt;&gt;"","到貨","發包中"),"")))))</f>
        <v/>
      </c>
      <c r="AW345" s="86">
        <f>IF(OR($AW$6=Y345),$AW$6,"")</f>
        <v/>
      </c>
      <c r="AX345" s="87">
        <f t="array" ref="AX345">IF(OR(AV345:AW345={"到貨","庫存"}),"完成","")</f>
        <v/>
      </c>
      <c r="AY345" s="92">
        <f>E345*$M$1</f>
        <v/>
      </c>
    </row>
    <row r="346" outlineLevel="1" ht="14.25" customHeight="1">
      <c r="A346" s="67" t="n">
        <v>301</v>
      </c>
      <c r="B346" s="526" t="n"/>
      <c r="C346" s="393" t="n"/>
      <c r="D346" s="427" t="n"/>
      <c r="E346" s="526" t="n"/>
      <c r="F346" s="526" t="n"/>
      <c r="G346" s="527" t="n"/>
      <c r="H346" s="393" t="n"/>
      <c r="I346" s="528" t="n"/>
      <c r="J346" s="528" t="n"/>
      <c r="K346" s="528" t="n"/>
      <c r="L346" s="529" t="n"/>
      <c r="M346" s="529" t="n"/>
      <c r="N346" s="530" t="n"/>
      <c r="O346" s="531" t="n"/>
      <c r="P346" s="527" t="n"/>
      <c r="Q346" s="528" t="n"/>
      <c r="R346" s="528" t="n"/>
      <c r="S346" s="528" t="n"/>
      <c r="T346" s="543" t="n"/>
      <c r="U346" s="534" t="n"/>
      <c r="V346" s="516" t="n"/>
      <c r="W346" s="535" t="n"/>
      <c r="X346" s="536" t="n"/>
      <c r="Y346" s="519" t="n"/>
      <c r="Z346" s="683" t="n"/>
      <c r="AA346" s="684" t="n"/>
      <c r="AB346" s="684" t="n"/>
      <c r="AC346" s="684" t="n"/>
      <c r="AD346" s="685" t="n"/>
      <c r="AE346" s="686" t="n"/>
      <c r="AF346" s="684" t="n"/>
      <c r="AG346" s="687" t="n"/>
      <c r="AH346" s="687" t="n"/>
      <c r="AI346" s="684" t="n"/>
      <c r="AJ346" s="686" t="n"/>
      <c r="AK346" s="687" t="n"/>
      <c r="AL346" s="687" t="n"/>
      <c r="AM346" s="687" t="n"/>
      <c r="AN346" s="688" t="n"/>
      <c r="AO346" s="686" t="n"/>
      <c r="AP346" s="689" t="n"/>
      <c r="AQ346" s="689" t="n"/>
      <c r="AR346" s="689" t="n"/>
      <c r="AS346" s="690" t="n"/>
      <c r="AT346" s="691">
        <f>IF(AJ346&lt;&gt;"",(IF(AV346="到貨","",(AJ346-TODAY()))),"")</f>
        <v/>
      </c>
      <c r="AU346" s="692">
        <f>IF(AO346&lt;&gt;"",(AO346-AE346),"")</f>
        <v/>
      </c>
      <c r="AV346" s="86">
        <f>IF(AI346&lt;&gt;"",IF(AS346&lt;&gt;"","到貨","5次發包中"),IF(AH346&lt;&gt;"",IF(AR346&lt;&gt;"","到貨","4次發包中"),IF(AG346&lt;&gt;"",IF(AQ346&lt;&gt;"","到貨","3次發包中"),IF(AF346&lt;&gt;"",IF(AP346&lt;&gt;"","到貨","2次發包中"),IF(AE346&lt;&gt;"",IF(AO346&lt;&gt;"","到貨","發包中"),"")))))</f>
        <v/>
      </c>
      <c r="AW346" s="86">
        <f>IF(OR($AW$6=Y346),$AW$6,"")</f>
        <v/>
      </c>
      <c r="AX346" s="87">
        <f t="array" ref="AX346">IF(OR(AV346:AW346={"到貨","庫存"}),"完成","")</f>
        <v/>
      </c>
      <c r="AY346" s="92">
        <f>E346*$M$1</f>
        <v/>
      </c>
    </row>
    <row r="347" outlineLevel="1" ht="14.25" customHeight="1">
      <c r="A347" s="67" t="n">
        <v>301</v>
      </c>
      <c r="B347" s="526" t="n"/>
      <c r="C347" s="393" t="n"/>
      <c r="D347" s="427" t="n"/>
      <c r="E347" s="526" t="n"/>
      <c r="F347" s="526" t="n"/>
      <c r="G347" s="527" t="n"/>
      <c r="H347" s="393" t="n"/>
      <c r="I347" s="528" t="n"/>
      <c r="J347" s="528" t="n"/>
      <c r="K347" s="528" t="n"/>
      <c r="L347" s="529" t="n"/>
      <c r="M347" s="529" t="n"/>
      <c r="N347" s="530" t="n"/>
      <c r="O347" s="531" t="n"/>
      <c r="P347" s="527" t="n"/>
      <c r="Q347" s="528" t="n"/>
      <c r="R347" s="528" t="n"/>
      <c r="S347" s="528" t="n"/>
      <c r="T347" s="543" t="n"/>
      <c r="U347" s="534" t="n"/>
      <c r="V347" s="516" t="n"/>
      <c r="W347" s="535" t="n"/>
      <c r="X347" s="536" t="n"/>
      <c r="Y347" s="519" t="n"/>
      <c r="Z347" s="683" t="n"/>
      <c r="AA347" s="684" t="n"/>
      <c r="AB347" s="684" t="n"/>
      <c r="AC347" s="684" t="n"/>
      <c r="AD347" s="685" t="n"/>
      <c r="AE347" s="686" t="n"/>
      <c r="AF347" s="684" t="n"/>
      <c r="AG347" s="687" t="n"/>
      <c r="AH347" s="687" t="n"/>
      <c r="AI347" s="684" t="n"/>
      <c r="AJ347" s="686" t="n"/>
      <c r="AK347" s="687" t="n"/>
      <c r="AL347" s="687" t="n"/>
      <c r="AM347" s="687" t="n"/>
      <c r="AN347" s="688" t="n"/>
      <c r="AO347" s="686" t="n"/>
      <c r="AP347" s="689" t="n"/>
      <c r="AQ347" s="689" t="n"/>
      <c r="AR347" s="689" t="n"/>
      <c r="AS347" s="690" t="n"/>
      <c r="AT347" s="691">
        <f>IF(AJ347&lt;&gt;"",(IF(AV347="到貨","",(AJ347-TODAY()))),"")</f>
        <v/>
      </c>
      <c r="AU347" s="692">
        <f>IF(AO347&lt;&gt;"",(AO347-AE347),"")</f>
        <v/>
      </c>
      <c r="AV347" s="86">
        <f>IF(AI347&lt;&gt;"",IF(AS347&lt;&gt;"","到貨","5次發包中"),IF(AH347&lt;&gt;"",IF(AR347&lt;&gt;"","到貨","4次發包中"),IF(AG347&lt;&gt;"",IF(AQ347&lt;&gt;"","到貨","3次發包中"),IF(AF347&lt;&gt;"",IF(AP347&lt;&gt;"","到貨","2次發包中"),IF(AE347&lt;&gt;"",IF(AO347&lt;&gt;"","到貨","發包中"),"")))))</f>
        <v/>
      </c>
      <c r="AW347" s="86">
        <f>IF(OR($AW$6=Y347),$AW$6,"")</f>
        <v/>
      </c>
      <c r="AX347" s="87">
        <f t="array" ref="AX347">IF(OR(AV347:AW347={"到貨","庫存"}),"完成","")</f>
        <v/>
      </c>
      <c r="AY347" s="92">
        <f>E347*$M$1</f>
        <v/>
      </c>
    </row>
    <row r="348" outlineLevel="1" ht="14.25" customHeight="1">
      <c r="A348" s="67" t="n">
        <v>301</v>
      </c>
      <c r="B348" s="526" t="n"/>
      <c r="C348" s="393" t="n"/>
      <c r="D348" s="427" t="n"/>
      <c r="E348" s="526" t="n"/>
      <c r="F348" s="526" t="n"/>
      <c r="G348" s="527" t="n"/>
      <c r="H348" s="393" t="n"/>
      <c r="I348" s="528" t="n"/>
      <c r="J348" s="528" t="n"/>
      <c r="K348" s="528" t="n"/>
      <c r="L348" s="529" t="n"/>
      <c r="M348" s="529" t="n"/>
      <c r="N348" s="530" t="n"/>
      <c r="O348" s="531" t="n"/>
      <c r="P348" s="527" t="n"/>
      <c r="Q348" s="528" t="n"/>
      <c r="R348" s="528" t="n"/>
      <c r="S348" s="528" t="n"/>
      <c r="T348" s="543" t="n"/>
      <c r="U348" s="534" t="n"/>
      <c r="V348" s="516" t="n"/>
      <c r="W348" s="535" t="n"/>
      <c r="X348" s="536" t="n"/>
      <c r="Y348" s="519" t="n"/>
      <c r="Z348" s="683" t="n"/>
      <c r="AA348" s="684" t="n"/>
      <c r="AB348" s="684" t="n"/>
      <c r="AC348" s="684" t="n"/>
      <c r="AD348" s="685" t="n"/>
      <c r="AE348" s="686" t="n"/>
      <c r="AF348" s="684" t="n"/>
      <c r="AG348" s="687" t="n"/>
      <c r="AH348" s="687" t="n"/>
      <c r="AI348" s="684" t="n"/>
      <c r="AJ348" s="686" t="n"/>
      <c r="AK348" s="687" t="n"/>
      <c r="AL348" s="687" t="n"/>
      <c r="AM348" s="687" t="n"/>
      <c r="AN348" s="688" t="n"/>
      <c r="AO348" s="686" t="n"/>
      <c r="AP348" s="689" t="n"/>
      <c r="AQ348" s="689" t="n"/>
      <c r="AR348" s="689" t="n"/>
      <c r="AS348" s="690" t="n"/>
      <c r="AT348" s="691">
        <f>IF(AJ348&lt;&gt;"",(IF(AV348="到貨","",(AJ348-TODAY()))),"")</f>
        <v/>
      </c>
      <c r="AU348" s="692">
        <f>IF(AO348&lt;&gt;"",(AO348-AE348),"")</f>
        <v/>
      </c>
      <c r="AV348" s="86">
        <f>IF(AI348&lt;&gt;"",IF(AS348&lt;&gt;"","到貨","5次發包中"),IF(AH348&lt;&gt;"",IF(AR348&lt;&gt;"","到貨","4次發包中"),IF(AG348&lt;&gt;"",IF(AQ348&lt;&gt;"","到貨","3次發包中"),IF(AF348&lt;&gt;"",IF(AP348&lt;&gt;"","到貨","2次發包中"),IF(AE348&lt;&gt;"",IF(AO348&lt;&gt;"","到貨","發包中"),"")))))</f>
        <v/>
      </c>
      <c r="AW348" s="86">
        <f>IF(OR($AW$6=Y348),$AW$6,"")</f>
        <v/>
      </c>
      <c r="AX348" s="87">
        <f t="array" ref="AX348">IF(OR(AV348:AW348={"到貨","庫存"}),"完成","")</f>
        <v/>
      </c>
      <c r="AY348" s="92">
        <f>E348*$M$1</f>
        <v/>
      </c>
    </row>
    <row r="349" outlineLevel="1" ht="14.25" customHeight="1">
      <c r="A349" s="67" t="n">
        <v>301</v>
      </c>
      <c r="B349" s="526" t="n"/>
      <c r="C349" s="393" t="n"/>
      <c r="D349" s="427" t="n"/>
      <c r="E349" s="526" t="n"/>
      <c r="F349" s="526" t="n"/>
      <c r="G349" s="527" t="n"/>
      <c r="H349" s="393" t="n"/>
      <c r="I349" s="528" t="n"/>
      <c r="J349" s="528" t="n"/>
      <c r="K349" s="528" t="n"/>
      <c r="L349" s="529" t="n"/>
      <c r="M349" s="529" t="n"/>
      <c r="N349" s="530" t="n"/>
      <c r="O349" s="531" t="n"/>
      <c r="P349" s="527" t="n"/>
      <c r="Q349" s="528" t="n"/>
      <c r="R349" s="528" t="n"/>
      <c r="S349" s="528" t="n"/>
      <c r="T349" s="543" t="n"/>
      <c r="U349" s="534" t="n"/>
      <c r="V349" s="516" t="n"/>
      <c r="W349" s="535" t="n"/>
      <c r="X349" s="536" t="n"/>
      <c r="Y349" s="519" t="n"/>
      <c r="Z349" s="683" t="n"/>
      <c r="AA349" s="684" t="n"/>
      <c r="AB349" s="684" t="n"/>
      <c r="AC349" s="684" t="n"/>
      <c r="AD349" s="685" t="n"/>
      <c r="AE349" s="686" t="n"/>
      <c r="AF349" s="684" t="n"/>
      <c r="AG349" s="687" t="n"/>
      <c r="AH349" s="687" t="n"/>
      <c r="AI349" s="684" t="n"/>
      <c r="AJ349" s="686" t="n"/>
      <c r="AK349" s="687" t="n"/>
      <c r="AL349" s="687" t="n"/>
      <c r="AM349" s="687" t="n"/>
      <c r="AN349" s="688" t="n"/>
      <c r="AO349" s="686" t="n"/>
      <c r="AP349" s="689" t="n"/>
      <c r="AQ349" s="689" t="n"/>
      <c r="AR349" s="689" t="n"/>
      <c r="AS349" s="690" t="n"/>
      <c r="AT349" s="691">
        <f>IF(AJ349&lt;&gt;"",(IF(AV349="到貨","",(AJ349-TODAY()))),"")</f>
        <v/>
      </c>
      <c r="AU349" s="692">
        <f>IF(AO349&lt;&gt;"",(AO349-AE349),"")</f>
        <v/>
      </c>
      <c r="AV349" s="86">
        <f>IF(AI349&lt;&gt;"",IF(AS349&lt;&gt;"","到貨","5次發包中"),IF(AH349&lt;&gt;"",IF(AR349&lt;&gt;"","到貨","4次發包中"),IF(AG349&lt;&gt;"",IF(AQ349&lt;&gt;"","到貨","3次發包中"),IF(AF349&lt;&gt;"",IF(AP349&lt;&gt;"","到貨","2次發包中"),IF(AE349&lt;&gt;"",IF(AO349&lt;&gt;"","到貨","發包中"),"")))))</f>
        <v/>
      </c>
      <c r="AW349" s="86">
        <f>IF(OR($AW$6=Y349),$AW$6,"")</f>
        <v/>
      </c>
      <c r="AX349" s="87">
        <f t="array" ref="AX349">IF(OR(AV349:AW349={"到貨","庫存"}),"完成","")</f>
        <v/>
      </c>
      <c r="AY349" s="92">
        <f>E349*$M$1</f>
        <v/>
      </c>
    </row>
    <row r="350" outlineLevel="1" ht="14.25" customHeight="1">
      <c r="A350" s="67" t="n">
        <v>301</v>
      </c>
      <c r="B350" s="526" t="n"/>
      <c r="C350" s="393" t="n"/>
      <c r="D350" s="427" t="n"/>
      <c r="E350" s="526" t="n"/>
      <c r="F350" s="526" t="n"/>
      <c r="G350" s="527" t="n"/>
      <c r="H350" s="393" t="n"/>
      <c r="I350" s="528" t="n"/>
      <c r="J350" s="528" t="n"/>
      <c r="K350" s="528" t="n"/>
      <c r="L350" s="529" t="n"/>
      <c r="M350" s="529" t="n"/>
      <c r="N350" s="530" t="n"/>
      <c r="O350" s="531" t="n"/>
      <c r="P350" s="527" t="n"/>
      <c r="Q350" s="528" t="n"/>
      <c r="R350" s="528" t="n"/>
      <c r="S350" s="528" t="n"/>
      <c r="T350" s="543" t="n"/>
      <c r="U350" s="534" t="n"/>
      <c r="V350" s="516" t="n"/>
      <c r="W350" s="535" t="n"/>
      <c r="X350" s="536" t="n"/>
      <c r="Y350" s="519" t="n"/>
      <c r="Z350" s="683" t="n"/>
      <c r="AA350" s="684" t="n"/>
      <c r="AB350" s="684" t="n"/>
      <c r="AC350" s="684" t="n"/>
      <c r="AD350" s="685" t="n"/>
      <c r="AE350" s="686" t="n"/>
      <c r="AF350" s="684" t="n"/>
      <c r="AG350" s="687" t="n"/>
      <c r="AH350" s="687" t="n"/>
      <c r="AI350" s="684" t="n"/>
      <c r="AJ350" s="686" t="n"/>
      <c r="AK350" s="687" t="n"/>
      <c r="AL350" s="687" t="n"/>
      <c r="AM350" s="687" t="n"/>
      <c r="AN350" s="688" t="n"/>
      <c r="AO350" s="686" t="n"/>
      <c r="AP350" s="689" t="n"/>
      <c r="AQ350" s="689" t="n"/>
      <c r="AR350" s="689" t="n"/>
      <c r="AS350" s="690" t="n"/>
      <c r="AT350" s="691">
        <f>IF(AJ350&lt;&gt;"",(IF(AV350="到貨","",(AJ350-TODAY()))),"")</f>
        <v/>
      </c>
      <c r="AU350" s="692">
        <f>IF(AO350&lt;&gt;"",(AO350-AE350),"")</f>
        <v/>
      </c>
      <c r="AV350" s="86">
        <f>IF(AI350&lt;&gt;"",IF(AS350&lt;&gt;"","到貨","5次發包中"),IF(AH350&lt;&gt;"",IF(AR350&lt;&gt;"","到貨","4次發包中"),IF(AG350&lt;&gt;"",IF(AQ350&lt;&gt;"","到貨","3次發包中"),IF(AF350&lt;&gt;"",IF(AP350&lt;&gt;"","到貨","2次發包中"),IF(AE350&lt;&gt;"",IF(AO350&lt;&gt;"","到貨","發包中"),"")))))</f>
        <v/>
      </c>
      <c r="AW350" s="86">
        <f>IF(OR($AW$6=Y350),$AW$6,"")</f>
        <v/>
      </c>
      <c r="AX350" s="87">
        <f t="array" ref="AX350">IF(OR(AV350:AW350={"到貨","庫存"}),"完成","")</f>
        <v/>
      </c>
      <c r="AY350" s="92">
        <f>E350*$M$1</f>
        <v/>
      </c>
    </row>
    <row r="351" outlineLevel="1" ht="14.25" customHeight="1">
      <c r="A351" s="67" t="n">
        <v>301</v>
      </c>
      <c r="B351" s="526" t="n"/>
      <c r="C351" s="393" t="n"/>
      <c r="D351" s="427" t="n"/>
      <c r="E351" s="526" t="n"/>
      <c r="F351" s="526" t="n"/>
      <c r="G351" s="527" t="n"/>
      <c r="H351" s="393" t="n"/>
      <c r="I351" s="528" t="n"/>
      <c r="J351" s="528" t="n"/>
      <c r="K351" s="528" t="n"/>
      <c r="L351" s="529" t="n"/>
      <c r="M351" s="529" t="n"/>
      <c r="N351" s="530" t="n"/>
      <c r="O351" s="531" t="n"/>
      <c r="P351" s="527" t="n"/>
      <c r="Q351" s="528" t="n"/>
      <c r="R351" s="528" t="n"/>
      <c r="S351" s="528" t="n"/>
      <c r="T351" s="543" t="n"/>
      <c r="U351" s="534" t="n"/>
      <c r="V351" s="516" t="n"/>
      <c r="W351" s="535" t="n"/>
      <c r="X351" s="536" t="n"/>
      <c r="Y351" s="519" t="n"/>
      <c r="Z351" s="683" t="n"/>
      <c r="AA351" s="684" t="n"/>
      <c r="AB351" s="684" t="n"/>
      <c r="AC351" s="684" t="n"/>
      <c r="AD351" s="685" t="n"/>
      <c r="AE351" s="686" t="n"/>
      <c r="AF351" s="684" t="n"/>
      <c r="AG351" s="687" t="n"/>
      <c r="AH351" s="687" t="n"/>
      <c r="AI351" s="684" t="n"/>
      <c r="AJ351" s="686" t="n"/>
      <c r="AK351" s="687" t="n"/>
      <c r="AL351" s="687" t="n"/>
      <c r="AM351" s="687" t="n"/>
      <c r="AN351" s="688" t="n"/>
      <c r="AO351" s="686" t="n"/>
      <c r="AP351" s="689" t="n"/>
      <c r="AQ351" s="689" t="n"/>
      <c r="AR351" s="689" t="n"/>
      <c r="AS351" s="690" t="n"/>
      <c r="AT351" s="691">
        <f>IF(AJ351&lt;&gt;"",(IF(AV351="到貨","",(AJ351-TODAY()))),"")</f>
        <v/>
      </c>
      <c r="AU351" s="692">
        <f>IF(AO351&lt;&gt;"",(AO351-AE351),"")</f>
        <v/>
      </c>
      <c r="AV351" s="86">
        <f>IF(AI351&lt;&gt;"",IF(AS351&lt;&gt;"","到貨","5次發包中"),IF(AH351&lt;&gt;"",IF(AR351&lt;&gt;"","到貨","4次發包中"),IF(AG351&lt;&gt;"",IF(AQ351&lt;&gt;"","到貨","3次發包中"),IF(AF351&lt;&gt;"",IF(AP351&lt;&gt;"","到貨","2次發包中"),IF(AE351&lt;&gt;"",IF(AO351&lt;&gt;"","到貨","發包中"),"")))))</f>
        <v/>
      </c>
      <c r="AW351" s="86">
        <f>IF(OR($AW$6=Y351),$AW$6,"")</f>
        <v/>
      </c>
      <c r="AX351" s="87">
        <f t="array" ref="AX351">IF(OR(AV351:AW351={"到貨","庫存"}),"完成","")</f>
        <v/>
      </c>
      <c r="AY351" s="92">
        <f>E351*$M$1</f>
        <v/>
      </c>
    </row>
    <row r="352" outlineLevel="1" ht="14.25" customHeight="1">
      <c r="A352" s="67" t="n">
        <v>301</v>
      </c>
      <c r="B352" s="526" t="n"/>
      <c r="C352" s="393" t="n"/>
      <c r="D352" s="427" t="n"/>
      <c r="E352" s="526" t="n"/>
      <c r="F352" s="526" t="n"/>
      <c r="G352" s="527" t="n"/>
      <c r="H352" s="393" t="n"/>
      <c r="I352" s="528" t="n"/>
      <c r="J352" s="528" t="n"/>
      <c r="K352" s="528" t="n"/>
      <c r="L352" s="529" t="n"/>
      <c r="M352" s="529" t="n"/>
      <c r="N352" s="530" t="n"/>
      <c r="O352" s="531" t="n"/>
      <c r="P352" s="527" t="n"/>
      <c r="Q352" s="528" t="n"/>
      <c r="R352" s="528" t="n"/>
      <c r="S352" s="528" t="n"/>
      <c r="T352" s="543" t="n"/>
      <c r="U352" s="534" t="n"/>
      <c r="V352" s="516" t="n"/>
      <c r="W352" s="535" t="n"/>
      <c r="X352" s="536" t="n"/>
      <c r="Y352" s="519" t="n"/>
      <c r="Z352" s="683" t="n"/>
      <c r="AA352" s="684" t="n"/>
      <c r="AB352" s="684" t="n"/>
      <c r="AC352" s="684" t="n"/>
      <c r="AD352" s="685" t="n"/>
      <c r="AE352" s="686" t="n"/>
      <c r="AF352" s="684" t="n"/>
      <c r="AG352" s="687" t="n"/>
      <c r="AH352" s="687" t="n"/>
      <c r="AI352" s="684" t="n"/>
      <c r="AJ352" s="686" t="n"/>
      <c r="AK352" s="687" t="n"/>
      <c r="AL352" s="687" t="n"/>
      <c r="AM352" s="687" t="n"/>
      <c r="AN352" s="688" t="n"/>
      <c r="AO352" s="686" t="n"/>
      <c r="AP352" s="689" t="n"/>
      <c r="AQ352" s="689" t="n"/>
      <c r="AR352" s="689" t="n"/>
      <c r="AS352" s="690" t="n"/>
      <c r="AT352" s="691">
        <f>IF(AJ352&lt;&gt;"",(IF(AV352="到貨","",(AJ352-TODAY()))),"")</f>
        <v/>
      </c>
      <c r="AU352" s="692">
        <f>IF(AO352&lt;&gt;"",(AO352-AE352),"")</f>
        <v/>
      </c>
      <c r="AV352" s="86">
        <f>IF(AI352&lt;&gt;"",IF(AS352&lt;&gt;"","到貨","5次發包中"),IF(AH352&lt;&gt;"",IF(AR352&lt;&gt;"","到貨","4次發包中"),IF(AG352&lt;&gt;"",IF(AQ352&lt;&gt;"","到貨","3次發包中"),IF(AF352&lt;&gt;"",IF(AP352&lt;&gt;"","到貨","2次發包中"),IF(AE352&lt;&gt;"",IF(AO352&lt;&gt;"","到貨","發包中"),"")))))</f>
        <v/>
      </c>
      <c r="AW352" s="86">
        <f>IF(OR($AW$6=Y352),$AW$6,"")</f>
        <v/>
      </c>
      <c r="AX352" s="87">
        <f t="array" ref="AX352">IF(OR(AV352:AW352={"到貨","庫存"}),"完成","")</f>
        <v/>
      </c>
      <c r="AY352" s="92">
        <f>E352*$M$1</f>
        <v/>
      </c>
    </row>
    <row r="353" outlineLevel="1" ht="14.25" customHeight="1">
      <c r="A353" s="67" t="n">
        <v>301</v>
      </c>
      <c r="B353" s="526" t="n"/>
      <c r="C353" s="393" t="n"/>
      <c r="D353" s="427" t="n"/>
      <c r="E353" s="526" t="n"/>
      <c r="F353" s="526" t="n"/>
      <c r="G353" s="527" t="n"/>
      <c r="H353" s="393" t="n"/>
      <c r="I353" s="528" t="n"/>
      <c r="J353" s="528" t="n"/>
      <c r="K353" s="528" t="n"/>
      <c r="L353" s="529" t="n"/>
      <c r="M353" s="529" t="n"/>
      <c r="N353" s="530" t="n"/>
      <c r="O353" s="531" t="n"/>
      <c r="P353" s="527" t="n"/>
      <c r="Q353" s="528" t="n"/>
      <c r="R353" s="528" t="n"/>
      <c r="S353" s="528" t="n"/>
      <c r="T353" s="543" t="n"/>
      <c r="U353" s="534" t="n"/>
      <c r="V353" s="516" t="n"/>
      <c r="W353" s="535" t="n"/>
      <c r="X353" s="536" t="n"/>
      <c r="Y353" s="519" t="n"/>
      <c r="Z353" s="683" t="n"/>
      <c r="AA353" s="684" t="n"/>
      <c r="AB353" s="684" t="n"/>
      <c r="AC353" s="684" t="n"/>
      <c r="AD353" s="685" t="n"/>
      <c r="AE353" s="686" t="n"/>
      <c r="AF353" s="684" t="n"/>
      <c r="AG353" s="687" t="n"/>
      <c r="AH353" s="687" t="n"/>
      <c r="AI353" s="684" t="n"/>
      <c r="AJ353" s="686" t="n"/>
      <c r="AK353" s="687" t="n"/>
      <c r="AL353" s="687" t="n"/>
      <c r="AM353" s="687" t="n"/>
      <c r="AN353" s="688" t="n"/>
      <c r="AO353" s="686" t="n"/>
      <c r="AP353" s="689" t="n"/>
      <c r="AQ353" s="689" t="n"/>
      <c r="AR353" s="689" t="n"/>
      <c r="AS353" s="690" t="n"/>
      <c r="AT353" s="691">
        <f>IF(AJ353&lt;&gt;"",(IF(AV353="到貨","",(AJ353-TODAY()))),"")</f>
        <v/>
      </c>
      <c r="AU353" s="692">
        <f>IF(AO353&lt;&gt;"",(AO353-AE353),"")</f>
        <v/>
      </c>
      <c r="AV353" s="86">
        <f>IF(AI353&lt;&gt;"",IF(AS353&lt;&gt;"","到貨","5次發包中"),IF(AH353&lt;&gt;"",IF(AR353&lt;&gt;"","到貨","4次發包中"),IF(AG353&lt;&gt;"",IF(AQ353&lt;&gt;"","到貨","3次發包中"),IF(AF353&lt;&gt;"",IF(AP353&lt;&gt;"","到貨","2次發包中"),IF(AE353&lt;&gt;"",IF(AO353&lt;&gt;"","到貨","發包中"),"")))))</f>
        <v/>
      </c>
      <c r="AW353" s="86">
        <f>IF(OR($AW$6=Y353),$AW$6,"")</f>
        <v/>
      </c>
      <c r="AX353" s="87">
        <f t="array" ref="AX353">IF(OR(AV353:AW353={"到貨","庫存"}),"完成","")</f>
        <v/>
      </c>
      <c r="AY353" s="92">
        <f>E353*$M$1</f>
        <v/>
      </c>
    </row>
    <row r="354" outlineLevel="1" ht="14.25" customHeight="1">
      <c r="A354" s="67" t="n">
        <v>301</v>
      </c>
      <c r="B354" s="526" t="n"/>
      <c r="C354" s="393" t="n"/>
      <c r="D354" s="427" t="n"/>
      <c r="E354" s="526" t="n"/>
      <c r="F354" s="526" t="n"/>
      <c r="G354" s="527" t="n"/>
      <c r="H354" s="393" t="n"/>
      <c r="I354" s="528" t="n"/>
      <c r="J354" s="528" t="n"/>
      <c r="K354" s="528" t="n"/>
      <c r="L354" s="529" t="n"/>
      <c r="M354" s="529" t="n"/>
      <c r="N354" s="530" t="n"/>
      <c r="O354" s="531" t="n"/>
      <c r="P354" s="527" t="n"/>
      <c r="Q354" s="528" t="n"/>
      <c r="R354" s="528" t="n"/>
      <c r="S354" s="528" t="n"/>
      <c r="T354" s="543" t="n"/>
      <c r="U354" s="534" t="n"/>
      <c r="V354" s="516" t="n"/>
      <c r="W354" s="535" t="n"/>
      <c r="X354" s="536" t="n"/>
      <c r="Y354" s="519" t="n"/>
      <c r="Z354" s="683" t="n"/>
      <c r="AA354" s="684" t="n"/>
      <c r="AB354" s="684" t="n"/>
      <c r="AC354" s="684" t="n"/>
      <c r="AD354" s="685" t="n"/>
      <c r="AE354" s="686" t="n"/>
      <c r="AF354" s="684" t="n"/>
      <c r="AG354" s="687" t="n"/>
      <c r="AH354" s="687" t="n"/>
      <c r="AI354" s="684" t="n"/>
      <c r="AJ354" s="686" t="n"/>
      <c r="AK354" s="687" t="n"/>
      <c r="AL354" s="687" t="n"/>
      <c r="AM354" s="687" t="n"/>
      <c r="AN354" s="688" t="n"/>
      <c r="AO354" s="686" t="n"/>
      <c r="AP354" s="689" t="n"/>
      <c r="AQ354" s="689" t="n"/>
      <c r="AR354" s="689" t="n"/>
      <c r="AS354" s="690" t="n"/>
      <c r="AT354" s="691">
        <f>IF(AJ354&lt;&gt;"",(IF(AV354="到貨","",(AJ354-TODAY()))),"")</f>
        <v/>
      </c>
      <c r="AU354" s="692">
        <f>IF(AO354&lt;&gt;"",(AO354-AE354),"")</f>
        <v/>
      </c>
      <c r="AV354" s="86">
        <f>IF(AI354&lt;&gt;"",IF(AS354&lt;&gt;"","到貨","5次發包中"),IF(AH354&lt;&gt;"",IF(AR354&lt;&gt;"","到貨","4次發包中"),IF(AG354&lt;&gt;"",IF(AQ354&lt;&gt;"","到貨","3次發包中"),IF(AF354&lt;&gt;"",IF(AP354&lt;&gt;"","到貨","2次發包中"),IF(AE354&lt;&gt;"",IF(AO354&lt;&gt;"","到貨","發包中"),"")))))</f>
        <v/>
      </c>
      <c r="AW354" s="86">
        <f>IF(OR($AW$6=Y354),$AW$6,"")</f>
        <v/>
      </c>
      <c r="AX354" s="87">
        <f t="array" ref="AX354">IF(OR(AV354:AW354={"到貨","庫存"}),"完成","")</f>
        <v/>
      </c>
      <c r="AY354" s="92">
        <f>E354*$M$1</f>
        <v/>
      </c>
    </row>
    <row r="355" outlineLevel="1" ht="14.25" customHeight="1">
      <c r="A355" s="67" t="n">
        <v>301</v>
      </c>
      <c r="B355" s="526" t="n"/>
      <c r="C355" s="393" t="n"/>
      <c r="D355" s="427" t="n"/>
      <c r="E355" s="526" t="n"/>
      <c r="F355" s="526" t="n"/>
      <c r="G355" s="527" t="n"/>
      <c r="H355" s="393" t="n"/>
      <c r="I355" s="528" t="n"/>
      <c r="J355" s="528" t="n"/>
      <c r="K355" s="528" t="n"/>
      <c r="L355" s="529" t="n"/>
      <c r="M355" s="529" t="n"/>
      <c r="N355" s="530" t="n"/>
      <c r="O355" s="531" t="n"/>
      <c r="P355" s="527" t="n"/>
      <c r="Q355" s="528" t="n"/>
      <c r="R355" s="528" t="n"/>
      <c r="S355" s="528" t="n"/>
      <c r="T355" s="543" t="n"/>
      <c r="U355" s="534" t="n"/>
      <c r="V355" s="516" t="n"/>
      <c r="W355" s="535" t="n"/>
      <c r="X355" s="536" t="n"/>
      <c r="Y355" s="519" t="n"/>
      <c r="Z355" s="683" t="n"/>
      <c r="AA355" s="684" t="n"/>
      <c r="AB355" s="684" t="n"/>
      <c r="AC355" s="684" t="n"/>
      <c r="AD355" s="685" t="n"/>
      <c r="AE355" s="686" t="n"/>
      <c r="AF355" s="684" t="n"/>
      <c r="AG355" s="687" t="n"/>
      <c r="AH355" s="687" t="n"/>
      <c r="AI355" s="684" t="n"/>
      <c r="AJ355" s="686" t="n"/>
      <c r="AK355" s="687" t="n"/>
      <c r="AL355" s="687" t="n"/>
      <c r="AM355" s="687" t="n"/>
      <c r="AN355" s="688" t="n"/>
      <c r="AO355" s="686" t="n"/>
      <c r="AP355" s="689" t="n"/>
      <c r="AQ355" s="689" t="n"/>
      <c r="AR355" s="689" t="n"/>
      <c r="AS355" s="690" t="n"/>
      <c r="AT355" s="691">
        <f>IF(AJ355&lt;&gt;"",(IF(AV355="到貨","",(AJ355-TODAY()))),"")</f>
        <v/>
      </c>
      <c r="AU355" s="692">
        <f>IF(AO355&lt;&gt;"",(AO355-AE355),"")</f>
        <v/>
      </c>
      <c r="AV355" s="86">
        <f>IF(AI355&lt;&gt;"",IF(AS355&lt;&gt;"","到貨","5次發包中"),IF(AH355&lt;&gt;"",IF(AR355&lt;&gt;"","到貨","4次發包中"),IF(AG355&lt;&gt;"",IF(AQ355&lt;&gt;"","到貨","3次發包中"),IF(AF355&lt;&gt;"",IF(AP355&lt;&gt;"","到貨","2次發包中"),IF(AE355&lt;&gt;"",IF(AO355&lt;&gt;"","到貨","發包中"),"")))))</f>
        <v/>
      </c>
      <c r="AW355" s="86">
        <f>IF(OR($AW$6=Y355),$AW$6,"")</f>
        <v/>
      </c>
      <c r="AX355" s="87">
        <f t="array" ref="AX355">IF(OR(AV355:AW355={"到貨","庫存"}),"完成","")</f>
        <v/>
      </c>
      <c r="AY355" s="92">
        <f>E355*$M$1</f>
        <v/>
      </c>
    </row>
    <row r="356" outlineLevel="1" ht="14.25" customHeight="1">
      <c r="A356" s="67" t="n">
        <v>301</v>
      </c>
      <c r="B356" s="526" t="n"/>
      <c r="C356" s="393" t="n"/>
      <c r="D356" s="427" t="n"/>
      <c r="E356" s="526" t="n"/>
      <c r="F356" s="526" t="n"/>
      <c r="G356" s="527" t="n"/>
      <c r="H356" s="393" t="n"/>
      <c r="I356" s="528" t="n"/>
      <c r="J356" s="528" t="n"/>
      <c r="K356" s="528" t="n"/>
      <c r="L356" s="529" t="n"/>
      <c r="M356" s="529" t="n"/>
      <c r="N356" s="530" t="n"/>
      <c r="O356" s="531" t="n"/>
      <c r="P356" s="527" t="n"/>
      <c r="Q356" s="528" t="n"/>
      <c r="R356" s="528" t="n"/>
      <c r="S356" s="528" t="n"/>
      <c r="T356" s="543" t="n"/>
      <c r="U356" s="534" t="n"/>
      <c r="V356" s="516" t="n"/>
      <c r="W356" s="535" t="n"/>
      <c r="X356" s="536" t="n"/>
      <c r="Y356" s="519" t="n"/>
      <c r="Z356" s="683" t="n"/>
      <c r="AA356" s="684" t="n"/>
      <c r="AB356" s="684" t="n"/>
      <c r="AC356" s="684" t="n"/>
      <c r="AD356" s="685" t="n"/>
      <c r="AE356" s="686" t="n"/>
      <c r="AF356" s="684" t="n"/>
      <c r="AG356" s="687" t="n"/>
      <c r="AH356" s="687" t="n"/>
      <c r="AI356" s="684" t="n"/>
      <c r="AJ356" s="686" t="n"/>
      <c r="AK356" s="687" t="n"/>
      <c r="AL356" s="687" t="n"/>
      <c r="AM356" s="687" t="n"/>
      <c r="AN356" s="688" t="n"/>
      <c r="AO356" s="686" t="n"/>
      <c r="AP356" s="689" t="n"/>
      <c r="AQ356" s="689" t="n"/>
      <c r="AR356" s="689" t="n"/>
      <c r="AS356" s="690" t="n"/>
      <c r="AT356" s="691">
        <f>IF(AJ356&lt;&gt;"",(IF(AV356="到貨","",(AJ356-TODAY()))),"")</f>
        <v/>
      </c>
      <c r="AU356" s="692">
        <f>IF(AO356&lt;&gt;"",(AO356-AE356),"")</f>
        <v/>
      </c>
      <c r="AV356" s="86">
        <f>IF(AI356&lt;&gt;"",IF(AS356&lt;&gt;"","到貨","5次發包中"),IF(AH356&lt;&gt;"",IF(AR356&lt;&gt;"","到貨","4次發包中"),IF(AG356&lt;&gt;"",IF(AQ356&lt;&gt;"","到貨","3次發包中"),IF(AF356&lt;&gt;"",IF(AP356&lt;&gt;"","到貨","2次發包中"),IF(AE356&lt;&gt;"",IF(AO356&lt;&gt;"","到貨","發包中"),"")))))</f>
        <v/>
      </c>
      <c r="AW356" s="86">
        <f>IF(OR($AW$6=Y356),$AW$6,"")</f>
        <v/>
      </c>
      <c r="AX356" s="87">
        <f t="array" ref="AX356">IF(OR(AV356:AW356={"到貨","庫存"}),"完成","")</f>
        <v/>
      </c>
      <c r="AY356" s="92">
        <f>E356*$M$1</f>
        <v/>
      </c>
    </row>
    <row r="357" outlineLevel="1" ht="14.25" customHeight="1">
      <c r="A357" s="67" t="n">
        <v>301</v>
      </c>
      <c r="B357" s="526" t="n"/>
      <c r="C357" s="393" t="n"/>
      <c r="D357" s="427" t="n"/>
      <c r="E357" s="526" t="n"/>
      <c r="F357" s="526" t="n"/>
      <c r="G357" s="527" t="n"/>
      <c r="H357" s="393" t="n"/>
      <c r="I357" s="528" t="n"/>
      <c r="J357" s="528" t="n"/>
      <c r="K357" s="528" t="n"/>
      <c r="L357" s="529" t="n"/>
      <c r="M357" s="529" t="n"/>
      <c r="N357" s="530" t="n"/>
      <c r="O357" s="531" t="n"/>
      <c r="P357" s="527" t="n"/>
      <c r="Q357" s="528" t="n"/>
      <c r="R357" s="528" t="n"/>
      <c r="S357" s="528" t="n"/>
      <c r="T357" s="543" t="n"/>
      <c r="U357" s="534" t="n"/>
      <c r="V357" s="516" t="n"/>
      <c r="W357" s="535" t="n"/>
      <c r="X357" s="536" t="n"/>
      <c r="Y357" s="519" t="n"/>
      <c r="Z357" s="683" t="n"/>
      <c r="AA357" s="684" t="n"/>
      <c r="AB357" s="684" t="n"/>
      <c r="AC357" s="684" t="n"/>
      <c r="AD357" s="685" t="n"/>
      <c r="AE357" s="686" t="n"/>
      <c r="AF357" s="684" t="n"/>
      <c r="AG357" s="687" t="n"/>
      <c r="AH357" s="687" t="n"/>
      <c r="AI357" s="684" t="n"/>
      <c r="AJ357" s="686" t="n"/>
      <c r="AK357" s="687" t="n"/>
      <c r="AL357" s="687" t="n"/>
      <c r="AM357" s="687" t="n"/>
      <c r="AN357" s="688" t="n"/>
      <c r="AO357" s="686" t="n"/>
      <c r="AP357" s="689" t="n"/>
      <c r="AQ357" s="689" t="n"/>
      <c r="AR357" s="689" t="n"/>
      <c r="AS357" s="690" t="n"/>
      <c r="AT357" s="691">
        <f>IF(AJ357&lt;&gt;"",(IF(AV357="到貨","",(AJ357-TODAY()))),"")</f>
        <v/>
      </c>
      <c r="AU357" s="692">
        <f>IF(AO357&lt;&gt;"",(AO357-AE357),"")</f>
        <v/>
      </c>
      <c r="AV357" s="86">
        <f>IF(AI357&lt;&gt;"",IF(AS357&lt;&gt;"","到貨","5次發包中"),IF(AH357&lt;&gt;"",IF(AR357&lt;&gt;"","到貨","4次發包中"),IF(AG357&lt;&gt;"",IF(AQ357&lt;&gt;"","到貨","3次發包中"),IF(AF357&lt;&gt;"",IF(AP357&lt;&gt;"","到貨","2次發包中"),IF(AE357&lt;&gt;"",IF(AO357&lt;&gt;"","到貨","發包中"),"")))))</f>
        <v/>
      </c>
      <c r="AW357" s="86">
        <f>IF(OR($AW$6=Y357),$AW$6,"")</f>
        <v/>
      </c>
      <c r="AX357" s="87">
        <f t="array" ref="AX357">IF(OR(AV357:AW357={"到貨","庫存"}),"完成","")</f>
        <v/>
      </c>
      <c r="AY357" s="92">
        <f>E357*$M$1</f>
        <v/>
      </c>
    </row>
    <row r="358" outlineLevel="1" ht="14.25" customHeight="1">
      <c r="A358" s="67" t="n">
        <v>301</v>
      </c>
      <c r="B358" s="526" t="n"/>
      <c r="C358" s="393" t="n"/>
      <c r="D358" s="427" t="n"/>
      <c r="E358" s="526" t="n"/>
      <c r="F358" s="526" t="n"/>
      <c r="G358" s="527" t="n"/>
      <c r="H358" s="393" t="n"/>
      <c r="I358" s="528" t="n"/>
      <c r="J358" s="528" t="n"/>
      <c r="K358" s="528" t="n"/>
      <c r="L358" s="529" t="n"/>
      <c r="M358" s="529" t="n"/>
      <c r="N358" s="530" t="n"/>
      <c r="O358" s="531" t="n"/>
      <c r="P358" s="527" t="n"/>
      <c r="Q358" s="528" t="n"/>
      <c r="R358" s="528" t="n"/>
      <c r="S358" s="528" t="n"/>
      <c r="T358" s="543" t="n"/>
      <c r="U358" s="534" t="n"/>
      <c r="V358" s="516" t="n"/>
      <c r="W358" s="535" t="n"/>
      <c r="X358" s="536" t="n"/>
      <c r="Y358" s="519" t="n"/>
      <c r="Z358" s="683" t="n"/>
      <c r="AA358" s="684" t="n"/>
      <c r="AB358" s="684" t="n"/>
      <c r="AC358" s="684" t="n"/>
      <c r="AD358" s="685" t="n"/>
      <c r="AE358" s="686" t="n"/>
      <c r="AF358" s="684" t="n"/>
      <c r="AG358" s="687" t="n"/>
      <c r="AH358" s="687" t="n"/>
      <c r="AI358" s="684" t="n"/>
      <c r="AJ358" s="686" t="n"/>
      <c r="AK358" s="687" t="n"/>
      <c r="AL358" s="687" t="n"/>
      <c r="AM358" s="687" t="n"/>
      <c r="AN358" s="688" t="n"/>
      <c r="AO358" s="686" t="n"/>
      <c r="AP358" s="689" t="n"/>
      <c r="AQ358" s="689" t="n"/>
      <c r="AR358" s="689" t="n"/>
      <c r="AS358" s="690" t="n"/>
      <c r="AT358" s="691">
        <f>IF(AJ358&lt;&gt;"",(IF(AV358="到貨","",(AJ358-TODAY()))),"")</f>
        <v/>
      </c>
      <c r="AU358" s="692">
        <f>IF(AO358&lt;&gt;"",(AO358-AE358),"")</f>
        <v/>
      </c>
      <c r="AV358" s="86">
        <f>IF(AI358&lt;&gt;"",IF(AS358&lt;&gt;"","到貨","5次發包中"),IF(AH358&lt;&gt;"",IF(AR358&lt;&gt;"","到貨","4次發包中"),IF(AG358&lt;&gt;"",IF(AQ358&lt;&gt;"","到貨","3次發包中"),IF(AF358&lt;&gt;"",IF(AP358&lt;&gt;"","到貨","2次發包中"),IF(AE358&lt;&gt;"",IF(AO358&lt;&gt;"","到貨","發包中"),"")))))</f>
        <v/>
      </c>
      <c r="AW358" s="86">
        <f>IF(OR($AW$6=Y358),$AW$6,"")</f>
        <v/>
      </c>
      <c r="AX358" s="87">
        <f t="array" ref="AX358">IF(OR(AV358:AW358={"到貨","庫存"}),"完成","")</f>
        <v/>
      </c>
      <c r="AY358" s="92">
        <f>E358*$M$1</f>
        <v/>
      </c>
    </row>
    <row r="359" outlineLevel="1" ht="14.25" customHeight="1">
      <c r="A359" s="67" t="n">
        <v>301</v>
      </c>
      <c r="B359" s="526" t="n"/>
      <c r="C359" s="393" t="n"/>
      <c r="D359" s="427" t="n"/>
      <c r="E359" s="526" t="n"/>
      <c r="F359" s="526" t="n"/>
      <c r="G359" s="527" t="n"/>
      <c r="H359" s="393" t="n"/>
      <c r="I359" s="528" t="n"/>
      <c r="J359" s="528" t="n"/>
      <c r="K359" s="528" t="n"/>
      <c r="L359" s="529" t="n"/>
      <c r="M359" s="529" t="n"/>
      <c r="N359" s="530" t="n"/>
      <c r="O359" s="531" t="n"/>
      <c r="P359" s="527" t="n"/>
      <c r="Q359" s="528" t="n"/>
      <c r="R359" s="528" t="n"/>
      <c r="S359" s="528" t="n"/>
      <c r="T359" s="543" t="n"/>
      <c r="U359" s="534" t="n"/>
      <c r="V359" s="516" t="n"/>
      <c r="W359" s="535" t="n"/>
      <c r="X359" s="536" t="n"/>
      <c r="Y359" s="519" t="n"/>
      <c r="Z359" s="683" t="n"/>
      <c r="AA359" s="684" t="n"/>
      <c r="AB359" s="684" t="n"/>
      <c r="AC359" s="684" t="n"/>
      <c r="AD359" s="685" t="n"/>
      <c r="AE359" s="686" t="n"/>
      <c r="AF359" s="684" t="n"/>
      <c r="AG359" s="687" t="n"/>
      <c r="AH359" s="687" t="n"/>
      <c r="AI359" s="684" t="n"/>
      <c r="AJ359" s="686" t="n"/>
      <c r="AK359" s="687" t="n"/>
      <c r="AL359" s="687" t="n"/>
      <c r="AM359" s="687" t="n"/>
      <c r="AN359" s="688" t="n"/>
      <c r="AO359" s="686" t="n"/>
      <c r="AP359" s="689" t="n"/>
      <c r="AQ359" s="689" t="n"/>
      <c r="AR359" s="689" t="n"/>
      <c r="AS359" s="690" t="n"/>
      <c r="AT359" s="691">
        <f>IF(AJ359&lt;&gt;"",(IF(AV359="到貨","",(AJ359-TODAY()))),"")</f>
        <v/>
      </c>
      <c r="AU359" s="692">
        <f>IF(AO359&lt;&gt;"",(AO359-AE359),"")</f>
        <v/>
      </c>
      <c r="AV359" s="86">
        <f>IF(AI359&lt;&gt;"",IF(AS359&lt;&gt;"","到貨","5次發包中"),IF(AH359&lt;&gt;"",IF(AR359&lt;&gt;"","到貨","4次發包中"),IF(AG359&lt;&gt;"",IF(AQ359&lt;&gt;"","到貨","3次發包中"),IF(AF359&lt;&gt;"",IF(AP359&lt;&gt;"","到貨","2次發包中"),IF(AE359&lt;&gt;"",IF(AO359&lt;&gt;"","到貨","發包中"),"")))))</f>
        <v/>
      </c>
      <c r="AW359" s="86">
        <f>IF(OR($AW$6=Y359),$AW$6,"")</f>
        <v/>
      </c>
      <c r="AX359" s="87">
        <f t="array" ref="AX359">IF(OR(AV359:AW359={"到貨","庫存"}),"完成","")</f>
        <v/>
      </c>
      <c r="AY359" s="92">
        <f>E359*$M$1</f>
        <v/>
      </c>
    </row>
    <row r="360" outlineLevel="1" ht="14.25" customHeight="1">
      <c r="A360" s="67" t="n">
        <v>301</v>
      </c>
      <c r="B360" s="526" t="n"/>
      <c r="C360" s="393" t="n"/>
      <c r="D360" s="427" t="n"/>
      <c r="E360" s="526" t="n"/>
      <c r="F360" s="526" t="n"/>
      <c r="G360" s="527" t="n"/>
      <c r="H360" s="393" t="n"/>
      <c r="I360" s="528" t="n"/>
      <c r="J360" s="528" t="n"/>
      <c r="K360" s="528" t="n"/>
      <c r="L360" s="529" t="n"/>
      <c r="M360" s="529" t="n"/>
      <c r="N360" s="530" t="n"/>
      <c r="O360" s="531" t="n"/>
      <c r="P360" s="527" t="n"/>
      <c r="Q360" s="528" t="n"/>
      <c r="R360" s="528" t="n"/>
      <c r="S360" s="528" t="n"/>
      <c r="T360" s="543" t="n"/>
      <c r="U360" s="534" t="n"/>
      <c r="V360" s="516" t="n"/>
      <c r="W360" s="535" t="n"/>
      <c r="X360" s="536" t="n"/>
      <c r="Y360" s="519" t="n"/>
      <c r="Z360" s="683" t="n"/>
      <c r="AA360" s="684" t="n"/>
      <c r="AB360" s="684" t="n"/>
      <c r="AC360" s="684" t="n"/>
      <c r="AD360" s="685" t="n"/>
      <c r="AE360" s="686" t="n"/>
      <c r="AF360" s="684" t="n"/>
      <c r="AG360" s="687" t="n"/>
      <c r="AH360" s="687" t="n"/>
      <c r="AI360" s="684" t="n"/>
      <c r="AJ360" s="686" t="n"/>
      <c r="AK360" s="687" t="n"/>
      <c r="AL360" s="687" t="n"/>
      <c r="AM360" s="687" t="n"/>
      <c r="AN360" s="688" t="n"/>
      <c r="AO360" s="686" t="n"/>
      <c r="AP360" s="689" t="n"/>
      <c r="AQ360" s="689" t="n"/>
      <c r="AR360" s="689" t="n"/>
      <c r="AS360" s="690" t="n"/>
      <c r="AT360" s="691">
        <f>IF(AJ360&lt;&gt;"",(IF(AV360="到貨","",(AJ360-TODAY()))),"")</f>
        <v/>
      </c>
      <c r="AU360" s="692">
        <f>IF(AO360&lt;&gt;"",(AO360-AE360),"")</f>
        <v/>
      </c>
      <c r="AV360" s="86">
        <f>IF(AI360&lt;&gt;"",IF(AS360&lt;&gt;"","到貨","5次發包中"),IF(AH360&lt;&gt;"",IF(AR360&lt;&gt;"","到貨","4次發包中"),IF(AG360&lt;&gt;"",IF(AQ360&lt;&gt;"","到貨","3次發包中"),IF(AF360&lt;&gt;"",IF(AP360&lt;&gt;"","到貨","2次發包中"),IF(AE360&lt;&gt;"",IF(AO360&lt;&gt;"","到貨","發包中"),"")))))</f>
        <v/>
      </c>
      <c r="AW360" s="86">
        <f>IF(OR($AW$6=Y360),$AW$6,"")</f>
        <v/>
      </c>
      <c r="AX360" s="87">
        <f t="array" ref="AX360">IF(OR(AV360:AW360={"到貨","庫存"}),"完成","")</f>
        <v/>
      </c>
      <c r="AY360" s="92">
        <f>E360*$M$1</f>
        <v/>
      </c>
    </row>
    <row r="361" outlineLevel="1" ht="14.25" customHeight="1">
      <c r="A361" s="67" t="n">
        <v>301</v>
      </c>
      <c r="B361" s="526" t="n"/>
      <c r="C361" s="393" t="n"/>
      <c r="D361" s="427" t="n"/>
      <c r="E361" s="526" t="n"/>
      <c r="F361" s="526" t="n"/>
      <c r="G361" s="527" t="n"/>
      <c r="H361" s="393" t="n"/>
      <c r="I361" s="528" t="n"/>
      <c r="J361" s="528" t="n"/>
      <c r="K361" s="528" t="n"/>
      <c r="L361" s="529" t="n"/>
      <c r="M361" s="529" t="n"/>
      <c r="N361" s="530" t="n"/>
      <c r="O361" s="531" t="n"/>
      <c r="P361" s="527" t="n"/>
      <c r="Q361" s="528" t="n"/>
      <c r="R361" s="528" t="n"/>
      <c r="S361" s="528" t="n"/>
      <c r="T361" s="543" t="n"/>
      <c r="U361" s="534" t="n"/>
      <c r="V361" s="516" t="n"/>
      <c r="W361" s="535" t="n"/>
      <c r="X361" s="536" t="n"/>
      <c r="Y361" s="519" t="n"/>
      <c r="Z361" s="683" t="n"/>
      <c r="AA361" s="684" t="n"/>
      <c r="AB361" s="684" t="n"/>
      <c r="AC361" s="684" t="n"/>
      <c r="AD361" s="685" t="n"/>
      <c r="AE361" s="686" t="n"/>
      <c r="AF361" s="684" t="n"/>
      <c r="AG361" s="687" t="n"/>
      <c r="AH361" s="687" t="n"/>
      <c r="AI361" s="684" t="n"/>
      <c r="AJ361" s="686" t="n"/>
      <c r="AK361" s="687" t="n"/>
      <c r="AL361" s="687" t="n"/>
      <c r="AM361" s="687" t="n"/>
      <c r="AN361" s="688" t="n"/>
      <c r="AO361" s="686" t="n"/>
      <c r="AP361" s="689" t="n"/>
      <c r="AQ361" s="689" t="n"/>
      <c r="AR361" s="689" t="n"/>
      <c r="AS361" s="690" t="n"/>
      <c r="AT361" s="691">
        <f>IF(AJ361&lt;&gt;"",(IF(AV361="到貨","",(AJ361-TODAY()))),"")</f>
        <v/>
      </c>
      <c r="AU361" s="692">
        <f>IF(AO361&lt;&gt;"",(AO361-AE361),"")</f>
        <v/>
      </c>
      <c r="AV361" s="86">
        <f>IF(AI361&lt;&gt;"",IF(AS361&lt;&gt;"","到貨","5次發包中"),IF(AH361&lt;&gt;"",IF(AR361&lt;&gt;"","到貨","4次發包中"),IF(AG361&lt;&gt;"",IF(AQ361&lt;&gt;"","到貨","3次發包中"),IF(AF361&lt;&gt;"",IF(AP361&lt;&gt;"","到貨","2次發包中"),IF(AE361&lt;&gt;"",IF(AO361&lt;&gt;"","到貨","發包中"),"")))))</f>
        <v/>
      </c>
      <c r="AW361" s="86">
        <f>IF(OR($AW$6=Y361),$AW$6,"")</f>
        <v/>
      </c>
      <c r="AX361" s="87">
        <f t="array" ref="AX361">IF(OR(AV361:AW361={"到貨","庫存"}),"完成","")</f>
        <v/>
      </c>
      <c r="AY361" s="92">
        <f>E361*$M$1</f>
        <v/>
      </c>
    </row>
    <row r="362" outlineLevel="1" ht="14.25" customHeight="1">
      <c r="A362" s="67" t="n">
        <v>301</v>
      </c>
      <c r="B362" s="526" t="n"/>
      <c r="C362" s="393" t="n"/>
      <c r="D362" s="427" t="n"/>
      <c r="E362" s="526" t="n"/>
      <c r="F362" s="526" t="n"/>
      <c r="G362" s="527" t="n"/>
      <c r="H362" s="393" t="n"/>
      <c r="I362" s="528" t="n"/>
      <c r="J362" s="528" t="n"/>
      <c r="K362" s="528" t="n"/>
      <c r="L362" s="529" t="n"/>
      <c r="M362" s="529" t="n"/>
      <c r="N362" s="530" t="n"/>
      <c r="O362" s="531" t="n"/>
      <c r="P362" s="527" t="n"/>
      <c r="Q362" s="528" t="n"/>
      <c r="R362" s="528" t="n"/>
      <c r="S362" s="528" t="n"/>
      <c r="T362" s="543" t="n"/>
      <c r="U362" s="534" t="n"/>
      <c r="V362" s="516" t="n"/>
      <c r="W362" s="535" t="n"/>
      <c r="X362" s="536" t="n"/>
      <c r="Y362" s="519" t="n"/>
      <c r="Z362" s="683" t="n"/>
      <c r="AA362" s="684" t="n"/>
      <c r="AB362" s="684" t="n"/>
      <c r="AC362" s="684" t="n"/>
      <c r="AD362" s="685" t="n"/>
      <c r="AE362" s="686" t="n"/>
      <c r="AF362" s="684" t="n"/>
      <c r="AG362" s="687" t="n"/>
      <c r="AH362" s="687" t="n"/>
      <c r="AI362" s="684" t="n"/>
      <c r="AJ362" s="686" t="n"/>
      <c r="AK362" s="687" t="n"/>
      <c r="AL362" s="687" t="n"/>
      <c r="AM362" s="687" t="n"/>
      <c r="AN362" s="688" t="n"/>
      <c r="AO362" s="686" t="n"/>
      <c r="AP362" s="689" t="n"/>
      <c r="AQ362" s="689" t="n"/>
      <c r="AR362" s="689" t="n"/>
      <c r="AS362" s="690" t="n"/>
      <c r="AT362" s="691">
        <f>IF(AJ362&lt;&gt;"",(IF(AV362="到貨","",(AJ362-TODAY()))),"")</f>
        <v/>
      </c>
      <c r="AU362" s="692">
        <f>IF(AO362&lt;&gt;"",(AO362-AE362),"")</f>
        <v/>
      </c>
      <c r="AV362" s="86">
        <f>IF(AI362&lt;&gt;"",IF(AS362&lt;&gt;"","到貨","5次發包中"),IF(AH362&lt;&gt;"",IF(AR362&lt;&gt;"","到貨","4次發包中"),IF(AG362&lt;&gt;"",IF(AQ362&lt;&gt;"","到貨","3次發包中"),IF(AF362&lt;&gt;"",IF(AP362&lt;&gt;"","到貨","2次發包中"),IF(AE362&lt;&gt;"",IF(AO362&lt;&gt;"","到貨","發包中"),"")))))</f>
        <v/>
      </c>
      <c r="AW362" s="86">
        <f>IF(OR($AW$6=Y362),$AW$6,"")</f>
        <v/>
      </c>
      <c r="AX362" s="87">
        <f t="array" ref="AX362">IF(OR(AV362:AW362={"到貨","庫存"}),"完成","")</f>
        <v/>
      </c>
      <c r="AY362" s="92">
        <f>E362*$M$1</f>
        <v/>
      </c>
    </row>
    <row r="363" outlineLevel="1" ht="14.25" customHeight="1">
      <c r="A363" s="67" t="n">
        <v>301</v>
      </c>
      <c r="B363" s="526" t="n"/>
      <c r="C363" s="393" t="n"/>
      <c r="D363" s="427" t="n"/>
      <c r="E363" s="526" t="n"/>
      <c r="F363" s="526" t="n"/>
      <c r="G363" s="527" t="n"/>
      <c r="H363" s="393" t="n"/>
      <c r="I363" s="528" t="n"/>
      <c r="J363" s="528" t="n"/>
      <c r="K363" s="528" t="n"/>
      <c r="L363" s="529" t="n"/>
      <c r="M363" s="529" t="n"/>
      <c r="N363" s="530" t="n"/>
      <c r="O363" s="531" t="n"/>
      <c r="P363" s="527" t="n"/>
      <c r="Q363" s="528" t="n"/>
      <c r="R363" s="528" t="n"/>
      <c r="S363" s="528" t="n"/>
      <c r="T363" s="543" t="n"/>
      <c r="U363" s="534" t="n"/>
      <c r="V363" s="516" t="n"/>
      <c r="W363" s="535" t="n"/>
      <c r="X363" s="536" t="n"/>
      <c r="Y363" s="519" t="n"/>
      <c r="Z363" s="683" t="n"/>
      <c r="AA363" s="684" t="n"/>
      <c r="AB363" s="684" t="n"/>
      <c r="AC363" s="684" t="n"/>
      <c r="AD363" s="685" t="n"/>
      <c r="AE363" s="686" t="n"/>
      <c r="AF363" s="684" t="n"/>
      <c r="AG363" s="687" t="n"/>
      <c r="AH363" s="687" t="n"/>
      <c r="AI363" s="684" t="n"/>
      <c r="AJ363" s="686" t="n"/>
      <c r="AK363" s="687" t="n"/>
      <c r="AL363" s="687" t="n"/>
      <c r="AM363" s="687" t="n"/>
      <c r="AN363" s="688" t="n"/>
      <c r="AO363" s="686" t="n"/>
      <c r="AP363" s="689" t="n"/>
      <c r="AQ363" s="689" t="n"/>
      <c r="AR363" s="689" t="n"/>
      <c r="AS363" s="690" t="n"/>
      <c r="AT363" s="691">
        <f>IF(AJ363&lt;&gt;"",(IF(AV363="到貨","",(AJ363-TODAY()))),"")</f>
        <v/>
      </c>
      <c r="AU363" s="692">
        <f>IF(AO363&lt;&gt;"",(AO363-AE363),"")</f>
        <v/>
      </c>
      <c r="AV363" s="86">
        <f>IF(AI363&lt;&gt;"",IF(AS363&lt;&gt;"","到貨","5次發包中"),IF(AH363&lt;&gt;"",IF(AR363&lt;&gt;"","到貨","4次發包中"),IF(AG363&lt;&gt;"",IF(AQ363&lt;&gt;"","到貨","3次發包中"),IF(AF363&lt;&gt;"",IF(AP363&lt;&gt;"","到貨","2次發包中"),IF(AE363&lt;&gt;"",IF(AO363&lt;&gt;"","到貨","發包中"),"")))))</f>
        <v/>
      </c>
      <c r="AW363" s="86">
        <f>IF(OR($AW$6=Y363),$AW$6,"")</f>
        <v/>
      </c>
      <c r="AX363" s="87">
        <f t="array" ref="AX363">IF(OR(AV363:AW363={"到貨","庫存"}),"完成","")</f>
        <v/>
      </c>
      <c r="AY363" s="92">
        <f>E363*$M$1</f>
        <v/>
      </c>
    </row>
    <row r="364" outlineLevel="1" ht="14.25" customHeight="1">
      <c r="A364" s="67" t="n">
        <v>301</v>
      </c>
      <c r="B364" s="526" t="n"/>
      <c r="C364" s="393" t="n"/>
      <c r="D364" s="427" t="n"/>
      <c r="E364" s="526" t="n"/>
      <c r="F364" s="526" t="n"/>
      <c r="G364" s="527" t="n"/>
      <c r="H364" s="393" t="n"/>
      <c r="I364" s="528" t="n"/>
      <c r="J364" s="528" t="n"/>
      <c r="K364" s="528" t="n"/>
      <c r="L364" s="529" t="n"/>
      <c r="M364" s="529" t="n"/>
      <c r="N364" s="530" t="n"/>
      <c r="O364" s="531" t="n"/>
      <c r="P364" s="527" t="n"/>
      <c r="Q364" s="528" t="n"/>
      <c r="R364" s="528" t="n"/>
      <c r="S364" s="528" t="n"/>
      <c r="T364" s="543" t="n"/>
      <c r="U364" s="534" t="n"/>
      <c r="V364" s="516" t="n"/>
      <c r="W364" s="535" t="n"/>
      <c r="X364" s="536" t="n"/>
      <c r="Y364" s="519" t="n"/>
      <c r="Z364" s="683" t="n"/>
      <c r="AA364" s="684" t="n"/>
      <c r="AB364" s="684" t="n"/>
      <c r="AC364" s="684" t="n"/>
      <c r="AD364" s="685" t="n"/>
      <c r="AE364" s="686" t="n"/>
      <c r="AF364" s="684" t="n"/>
      <c r="AG364" s="687" t="n"/>
      <c r="AH364" s="687" t="n"/>
      <c r="AI364" s="684" t="n"/>
      <c r="AJ364" s="686" t="n"/>
      <c r="AK364" s="687" t="n"/>
      <c r="AL364" s="687" t="n"/>
      <c r="AM364" s="687" t="n"/>
      <c r="AN364" s="688" t="n"/>
      <c r="AO364" s="686" t="n"/>
      <c r="AP364" s="689" t="n"/>
      <c r="AQ364" s="689" t="n"/>
      <c r="AR364" s="689" t="n"/>
      <c r="AS364" s="690" t="n"/>
      <c r="AT364" s="691">
        <f>IF(AJ364&lt;&gt;"",(IF(AV364="到貨","",(AJ364-TODAY()))),"")</f>
        <v/>
      </c>
      <c r="AU364" s="692">
        <f>IF(AO364&lt;&gt;"",(AO364-AE364),"")</f>
        <v/>
      </c>
      <c r="AV364" s="86">
        <f>IF(AI364&lt;&gt;"",IF(AS364&lt;&gt;"","到貨","5次發包中"),IF(AH364&lt;&gt;"",IF(AR364&lt;&gt;"","到貨","4次發包中"),IF(AG364&lt;&gt;"",IF(AQ364&lt;&gt;"","到貨","3次發包中"),IF(AF364&lt;&gt;"",IF(AP364&lt;&gt;"","到貨","2次發包中"),IF(AE364&lt;&gt;"",IF(AO364&lt;&gt;"","到貨","發包中"),"")))))</f>
        <v/>
      </c>
      <c r="AW364" s="86">
        <f>IF(OR($AW$6=Y364),$AW$6,"")</f>
        <v/>
      </c>
      <c r="AX364" s="87">
        <f t="array" ref="AX364">IF(OR(AV364:AW364={"到貨","庫存"}),"完成","")</f>
        <v/>
      </c>
      <c r="AY364" s="92">
        <f>E364*$M$1</f>
        <v/>
      </c>
    </row>
    <row r="365" outlineLevel="1" ht="14.25" customHeight="1">
      <c r="A365" s="67" t="n">
        <v>301</v>
      </c>
      <c r="B365" s="526" t="n"/>
      <c r="C365" s="393" t="n"/>
      <c r="D365" s="427" t="n"/>
      <c r="E365" s="526" t="n"/>
      <c r="F365" s="526" t="n"/>
      <c r="G365" s="527" t="n"/>
      <c r="H365" s="393" t="n"/>
      <c r="I365" s="528" t="n"/>
      <c r="J365" s="528" t="n"/>
      <c r="K365" s="528" t="n"/>
      <c r="L365" s="529" t="n"/>
      <c r="M365" s="529" t="n"/>
      <c r="N365" s="530" t="n"/>
      <c r="O365" s="531" t="n"/>
      <c r="P365" s="527" t="n"/>
      <c r="Q365" s="528" t="n"/>
      <c r="R365" s="528" t="n"/>
      <c r="S365" s="528" t="n"/>
      <c r="T365" s="543" t="n"/>
      <c r="U365" s="534" t="n"/>
      <c r="V365" s="516" t="n"/>
      <c r="W365" s="535" t="n"/>
      <c r="X365" s="536" t="n"/>
      <c r="Y365" s="519" t="n"/>
      <c r="Z365" s="683" t="n"/>
      <c r="AA365" s="684" t="n"/>
      <c r="AB365" s="684" t="n"/>
      <c r="AC365" s="684" t="n"/>
      <c r="AD365" s="685" t="n"/>
      <c r="AE365" s="686" t="n"/>
      <c r="AF365" s="684" t="n"/>
      <c r="AG365" s="687" t="n"/>
      <c r="AH365" s="687" t="n"/>
      <c r="AI365" s="684" t="n"/>
      <c r="AJ365" s="686" t="n"/>
      <c r="AK365" s="687" t="n"/>
      <c r="AL365" s="687" t="n"/>
      <c r="AM365" s="687" t="n"/>
      <c r="AN365" s="688" t="n"/>
      <c r="AO365" s="686" t="n"/>
      <c r="AP365" s="689" t="n"/>
      <c r="AQ365" s="689" t="n"/>
      <c r="AR365" s="689" t="n"/>
      <c r="AS365" s="690" t="n"/>
      <c r="AT365" s="691">
        <f>IF(AJ365&lt;&gt;"",(IF(AV365="到貨","",(AJ365-TODAY()))),"")</f>
        <v/>
      </c>
      <c r="AU365" s="692">
        <f>IF(AO365&lt;&gt;"",(AO365-AE365),"")</f>
        <v/>
      </c>
      <c r="AV365" s="86">
        <f>IF(AI365&lt;&gt;"",IF(AS365&lt;&gt;"","到貨","5次發包中"),IF(AH365&lt;&gt;"",IF(AR365&lt;&gt;"","到貨","4次發包中"),IF(AG365&lt;&gt;"",IF(AQ365&lt;&gt;"","到貨","3次發包中"),IF(AF365&lt;&gt;"",IF(AP365&lt;&gt;"","到貨","2次發包中"),IF(AE365&lt;&gt;"",IF(AO365&lt;&gt;"","到貨","發包中"),"")))))</f>
        <v/>
      </c>
      <c r="AW365" s="86">
        <f>IF(OR($AW$6=Y365),$AW$6,"")</f>
        <v/>
      </c>
      <c r="AX365" s="87">
        <f t="array" ref="AX365">IF(OR(AV365:AW365={"到貨","庫存"}),"完成","")</f>
        <v/>
      </c>
      <c r="AY365" s="92">
        <f>E365*$M$1</f>
        <v/>
      </c>
    </row>
    <row r="366" outlineLevel="1" ht="14.25" customHeight="1">
      <c r="A366" s="67" t="n">
        <v>301</v>
      </c>
      <c r="B366" s="526" t="n"/>
      <c r="C366" s="393" t="n"/>
      <c r="D366" s="427" t="n"/>
      <c r="E366" s="526" t="n"/>
      <c r="F366" s="526" t="n"/>
      <c r="G366" s="527" t="n"/>
      <c r="H366" s="393" t="n"/>
      <c r="I366" s="528" t="n"/>
      <c r="J366" s="528" t="n"/>
      <c r="K366" s="528" t="n"/>
      <c r="L366" s="529" t="n"/>
      <c r="M366" s="529" t="n"/>
      <c r="N366" s="530" t="n"/>
      <c r="O366" s="531" t="n"/>
      <c r="P366" s="527" t="n"/>
      <c r="Q366" s="528" t="n"/>
      <c r="R366" s="528" t="n"/>
      <c r="S366" s="528" t="n"/>
      <c r="T366" s="543" t="n"/>
      <c r="U366" s="534" t="n"/>
      <c r="V366" s="516" t="n"/>
      <c r="W366" s="535" t="n"/>
      <c r="X366" s="536" t="n"/>
      <c r="Y366" s="519" t="n"/>
      <c r="Z366" s="683" t="n"/>
      <c r="AA366" s="684" t="n"/>
      <c r="AB366" s="684" t="n"/>
      <c r="AC366" s="684" t="n"/>
      <c r="AD366" s="685" t="n"/>
      <c r="AE366" s="686" t="n"/>
      <c r="AF366" s="684" t="n"/>
      <c r="AG366" s="687" t="n"/>
      <c r="AH366" s="687" t="n"/>
      <c r="AI366" s="684" t="n"/>
      <c r="AJ366" s="686" t="n"/>
      <c r="AK366" s="687" t="n"/>
      <c r="AL366" s="687" t="n"/>
      <c r="AM366" s="687" t="n"/>
      <c r="AN366" s="688" t="n"/>
      <c r="AO366" s="686" t="n"/>
      <c r="AP366" s="689" t="n"/>
      <c r="AQ366" s="689" t="n"/>
      <c r="AR366" s="689" t="n"/>
      <c r="AS366" s="690" t="n"/>
      <c r="AT366" s="691">
        <f>IF(AJ366&lt;&gt;"",(IF(AV366="到貨","",(AJ366-TODAY()))),"")</f>
        <v/>
      </c>
      <c r="AU366" s="692">
        <f>IF(AO366&lt;&gt;"",(AO366-AE366),"")</f>
        <v/>
      </c>
      <c r="AV366" s="86">
        <f>IF(AI366&lt;&gt;"",IF(AS366&lt;&gt;"","到貨","5次發包中"),IF(AH366&lt;&gt;"",IF(AR366&lt;&gt;"","到貨","4次發包中"),IF(AG366&lt;&gt;"",IF(AQ366&lt;&gt;"","到貨","3次發包中"),IF(AF366&lt;&gt;"",IF(AP366&lt;&gt;"","到貨","2次發包中"),IF(AE366&lt;&gt;"",IF(AO366&lt;&gt;"","到貨","發包中"),"")))))</f>
        <v/>
      </c>
      <c r="AW366" s="86">
        <f>IF(OR($AW$6=Y366),$AW$6,"")</f>
        <v/>
      </c>
      <c r="AX366" s="87">
        <f t="array" ref="AX366">IF(OR(AV366:AW366={"到貨","庫存"}),"完成","")</f>
        <v/>
      </c>
      <c r="AY366" s="92">
        <f>E366*$M$1</f>
        <v/>
      </c>
    </row>
    <row r="367" outlineLevel="1" ht="14.25" customHeight="1">
      <c r="A367" s="67" t="n">
        <v>301</v>
      </c>
      <c r="B367" s="526" t="n"/>
      <c r="C367" s="393" t="n"/>
      <c r="D367" s="427" t="n"/>
      <c r="E367" s="526" t="n"/>
      <c r="F367" s="526" t="n"/>
      <c r="G367" s="527" t="n"/>
      <c r="H367" s="393" t="n"/>
      <c r="I367" s="528" t="n"/>
      <c r="J367" s="528" t="n"/>
      <c r="K367" s="528" t="n"/>
      <c r="L367" s="529" t="n"/>
      <c r="M367" s="529" t="n"/>
      <c r="N367" s="530" t="n"/>
      <c r="O367" s="531" t="n"/>
      <c r="P367" s="527" t="n"/>
      <c r="Q367" s="528" t="n"/>
      <c r="R367" s="528" t="n"/>
      <c r="S367" s="528" t="n"/>
      <c r="T367" s="543" t="n"/>
      <c r="U367" s="534" t="n"/>
      <c r="V367" s="516" t="n"/>
      <c r="W367" s="535" t="n"/>
      <c r="X367" s="536" t="n"/>
      <c r="Y367" s="519" t="n"/>
      <c r="Z367" s="683" t="n"/>
      <c r="AA367" s="684" t="n"/>
      <c r="AB367" s="684" t="n"/>
      <c r="AC367" s="684" t="n"/>
      <c r="AD367" s="685" t="n"/>
      <c r="AE367" s="686" t="n"/>
      <c r="AF367" s="684" t="n"/>
      <c r="AG367" s="687" t="n"/>
      <c r="AH367" s="687" t="n"/>
      <c r="AI367" s="684" t="n"/>
      <c r="AJ367" s="686" t="n"/>
      <c r="AK367" s="687" t="n"/>
      <c r="AL367" s="687" t="n"/>
      <c r="AM367" s="687" t="n"/>
      <c r="AN367" s="688" t="n"/>
      <c r="AO367" s="686" t="n"/>
      <c r="AP367" s="689" t="n"/>
      <c r="AQ367" s="689" t="n"/>
      <c r="AR367" s="689" t="n"/>
      <c r="AS367" s="690" t="n"/>
      <c r="AT367" s="691">
        <f>IF(AJ367&lt;&gt;"",(IF(AV367="到貨","",(AJ367-TODAY()))),"")</f>
        <v/>
      </c>
      <c r="AU367" s="692">
        <f>IF(AO367&lt;&gt;"",(AO367-AE367),"")</f>
        <v/>
      </c>
      <c r="AV367" s="86">
        <f>IF(AI367&lt;&gt;"",IF(AS367&lt;&gt;"","到貨","5次發包中"),IF(AH367&lt;&gt;"",IF(AR367&lt;&gt;"","到貨","4次發包中"),IF(AG367&lt;&gt;"",IF(AQ367&lt;&gt;"","到貨","3次發包中"),IF(AF367&lt;&gt;"",IF(AP367&lt;&gt;"","到貨","2次發包中"),IF(AE367&lt;&gt;"",IF(AO367&lt;&gt;"","到貨","發包中"),"")))))</f>
        <v/>
      </c>
      <c r="AW367" s="86">
        <f>IF(OR($AW$6=Y367),$AW$6,"")</f>
        <v/>
      </c>
      <c r="AX367" s="87">
        <f t="array" ref="AX367">IF(OR(AV367:AW367={"到貨","庫存"}),"完成","")</f>
        <v/>
      </c>
      <c r="AY367" s="92">
        <f>E367*$M$1</f>
        <v/>
      </c>
    </row>
    <row r="368" outlineLevel="1" ht="14.25" customHeight="1">
      <c r="A368" s="67" t="n">
        <v>301</v>
      </c>
      <c r="B368" s="526" t="n"/>
      <c r="C368" s="393" t="n"/>
      <c r="D368" s="427" t="n"/>
      <c r="E368" s="526" t="n"/>
      <c r="F368" s="526" t="n"/>
      <c r="G368" s="527" t="n"/>
      <c r="H368" s="393" t="n"/>
      <c r="I368" s="528" t="n"/>
      <c r="J368" s="528" t="n"/>
      <c r="K368" s="528" t="n"/>
      <c r="L368" s="529" t="n"/>
      <c r="M368" s="529" t="n"/>
      <c r="N368" s="530" t="n"/>
      <c r="O368" s="531" t="n"/>
      <c r="P368" s="527" t="n"/>
      <c r="Q368" s="528" t="n"/>
      <c r="R368" s="528" t="n"/>
      <c r="S368" s="528" t="n"/>
      <c r="T368" s="543" t="n"/>
      <c r="U368" s="534" t="n"/>
      <c r="V368" s="516" t="n"/>
      <c r="W368" s="535" t="n"/>
      <c r="X368" s="536" t="n"/>
      <c r="Y368" s="519" t="n"/>
      <c r="Z368" s="683" t="n"/>
      <c r="AA368" s="684" t="n"/>
      <c r="AB368" s="684" t="n"/>
      <c r="AC368" s="684" t="n"/>
      <c r="AD368" s="685" t="n"/>
      <c r="AE368" s="686" t="n"/>
      <c r="AF368" s="684" t="n"/>
      <c r="AG368" s="687" t="n"/>
      <c r="AH368" s="687" t="n"/>
      <c r="AI368" s="684" t="n"/>
      <c r="AJ368" s="686" t="n"/>
      <c r="AK368" s="687" t="n"/>
      <c r="AL368" s="687" t="n"/>
      <c r="AM368" s="687" t="n"/>
      <c r="AN368" s="688" t="n"/>
      <c r="AO368" s="686" t="n"/>
      <c r="AP368" s="689" t="n"/>
      <c r="AQ368" s="689" t="n"/>
      <c r="AR368" s="689" t="n"/>
      <c r="AS368" s="690" t="n"/>
      <c r="AT368" s="691">
        <f>IF(AJ368&lt;&gt;"",(IF(AV368="到貨","",(AJ368-TODAY()))),"")</f>
        <v/>
      </c>
      <c r="AU368" s="692">
        <f>IF(AO368&lt;&gt;"",(AO368-AE368),"")</f>
        <v/>
      </c>
      <c r="AV368" s="86">
        <f>IF(AI368&lt;&gt;"",IF(AS368&lt;&gt;"","到貨","5次發包中"),IF(AH368&lt;&gt;"",IF(AR368&lt;&gt;"","到貨","4次發包中"),IF(AG368&lt;&gt;"",IF(AQ368&lt;&gt;"","到貨","3次發包中"),IF(AF368&lt;&gt;"",IF(AP368&lt;&gt;"","到貨","2次發包中"),IF(AE368&lt;&gt;"",IF(AO368&lt;&gt;"","到貨","發包中"),"")))))</f>
        <v/>
      </c>
      <c r="AW368" s="86">
        <f>IF(OR($AW$6=Y368),$AW$6,"")</f>
        <v/>
      </c>
      <c r="AX368" s="87">
        <f t="array" ref="AX368">IF(OR(AV368:AW368={"到貨","庫存"}),"完成","")</f>
        <v/>
      </c>
      <c r="AY368" s="92">
        <f>E368*$M$1</f>
        <v/>
      </c>
    </row>
    <row r="369" outlineLevel="1" ht="14.25" customHeight="1">
      <c r="A369" s="67" t="n">
        <v>301</v>
      </c>
      <c r="B369" s="526" t="n"/>
      <c r="C369" s="393" t="n"/>
      <c r="D369" s="427" t="n"/>
      <c r="E369" s="526" t="n"/>
      <c r="F369" s="526" t="n"/>
      <c r="G369" s="527" t="n"/>
      <c r="H369" s="393" t="n"/>
      <c r="I369" s="528" t="n"/>
      <c r="J369" s="528" t="n"/>
      <c r="K369" s="528" t="n"/>
      <c r="L369" s="529" t="n"/>
      <c r="M369" s="529" t="n"/>
      <c r="N369" s="530" t="n"/>
      <c r="O369" s="531" t="n"/>
      <c r="P369" s="527" t="n"/>
      <c r="Q369" s="528" t="n"/>
      <c r="R369" s="528" t="n"/>
      <c r="S369" s="528" t="n"/>
      <c r="T369" s="543" t="n"/>
      <c r="U369" s="534" t="n"/>
      <c r="V369" s="516" t="n"/>
      <c r="W369" s="535" t="n"/>
      <c r="X369" s="536" t="n"/>
      <c r="Y369" s="519" t="n"/>
      <c r="Z369" s="683" t="n"/>
      <c r="AA369" s="684" t="n"/>
      <c r="AB369" s="684" t="n"/>
      <c r="AC369" s="684" t="n"/>
      <c r="AD369" s="685" t="n"/>
      <c r="AE369" s="686" t="n"/>
      <c r="AF369" s="684" t="n"/>
      <c r="AG369" s="687" t="n"/>
      <c r="AH369" s="687" t="n"/>
      <c r="AI369" s="684" t="n"/>
      <c r="AJ369" s="686" t="n"/>
      <c r="AK369" s="687" t="n"/>
      <c r="AL369" s="687" t="n"/>
      <c r="AM369" s="687" t="n"/>
      <c r="AN369" s="688" t="n"/>
      <c r="AO369" s="686" t="n"/>
      <c r="AP369" s="689" t="n"/>
      <c r="AQ369" s="689" t="n"/>
      <c r="AR369" s="689" t="n"/>
      <c r="AS369" s="690" t="n"/>
      <c r="AT369" s="691">
        <f>IF(AJ369&lt;&gt;"",(IF(AV369="到貨","",(AJ369-TODAY()))),"")</f>
        <v/>
      </c>
      <c r="AU369" s="692">
        <f>IF(AO369&lt;&gt;"",(AO369-AE369),"")</f>
        <v/>
      </c>
      <c r="AV369" s="86">
        <f>IF(AI369&lt;&gt;"",IF(AS369&lt;&gt;"","到貨","5次發包中"),IF(AH369&lt;&gt;"",IF(AR369&lt;&gt;"","到貨","4次發包中"),IF(AG369&lt;&gt;"",IF(AQ369&lt;&gt;"","到貨","3次發包中"),IF(AF369&lt;&gt;"",IF(AP369&lt;&gt;"","到貨","2次發包中"),IF(AE369&lt;&gt;"",IF(AO369&lt;&gt;"","到貨","發包中"),"")))))</f>
        <v/>
      </c>
      <c r="AW369" s="86">
        <f>IF(OR($AW$6=Y369),$AW$6,"")</f>
        <v/>
      </c>
      <c r="AX369" s="87">
        <f t="array" ref="AX369">IF(OR(AV369:AW369={"到貨","庫存"}),"完成","")</f>
        <v/>
      </c>
      <c r="AY369" s="92">
        <f>E369*$M$1</f>
        <v/>
      </c>
    </row>
    <row r="370" outlineLevel="1" ht="14.25" customHeight="1">
      <c r="A370" s="67" t="n">
        <v>301</v>
      </c>
      <c r="B370" s="526" t="n"/>
      <c r="C370" s="393" t="n"/>
      <c r="D370" s="427" t="n"/>
      <c r="E370" s="526" t="n"/>
      <c r="F370" s="526" t="n"/>
      <c r="G370" s="527" t="n"/>
      <c r="H370" s="393" t="n"/>
      <c r="I370" s="528" t="n"/>
      <c r="J370" s="528" t="n"/>
      <c r="K370" s="528" t="n"/>
      <c r="L370" s="529" t="n"/>
      <c r="M370" s="529" t="n"/>
      <c r="N370" s="530" t="n"/>
      <c r="O370" s="531" t="n"/>
      <c r="P370" s="527" t="n"/>
      <c r="Q370" s="528" t="n"/>
      <c r="R370" s="528" t="n"/>
      <c r="S370" s="528" t="n"/>
      <c r="T370" s="543" t="n"/>
      <c r="U370" s="534" t="n"/>
      <c r="V370" s="516" t="n"/>
      <c r="W370" s="535" t="n"/>
      <c r="X370" s="536" t="n"/>
      <c r="Y370" s="519" t="n"/>
      <c r="Z370" s="683" t="n"/>
      <c r="AA370" s="684" t="n"/>
      <c r="AB370" s="684" t="n"/>
      <c r="AC370" s="684" t="n"/>
      <c r="AD370" s="685" t="n"/>
      <c r="AE370" s="686" t="n"/>
      <c r="AF370" s="684" t="n"/>
      <c r="AG370" s="687" t="n"/>
      <c r="AH370" s="687" t="n"/>
      <c r="AI370" s="684" t="n"/>
      <c r="AJ370" s="686" t="n"/>
      <c r="AK370" s="687" t="n"/>
      <c r="AL370" s="687" t="n"/>
      <c r="AM370" s="687" t="n"/>
      <c r="AN370" s="688" t="n"/>
      <c r="AO370" s="686" t="n"/>
      <c r="AP370" s="689" t="n"/>
      <c r="AQ370" s="689" t="n"/>
      <c r="AR370" s="689" t="n"/>
      <c r="AS370" s="690" t="n"/>
      <c r="AT370" s="691">
        <f>IF(AJ370&lt;&gt;"",(IF(AV370="到貨","",(AJ370-TODAY()))),"")</f>
        <v/>
      </c>
      <c r="AU370" s="692">
        <f>IF(AO370&lt;&gt;"",(AO370-AE370),"")</f>
        <v/>
      </c>
      <c r="AV370" s="86">
        <f>IF(AI370&lt;&gt;"",IF(AS370&lt;&gt;"","到貨","5次發包中"),IF(AH370&lt;&gt;"",IF(AR370&lt;&gt;"","到貨","4次發包中"),IF(AG370&lt;&gt;"",IF(AQ370&lt;&gt;"","到貨","3次發包中"),IF(AF370&lt;&gt;"",IF(AP370&lt;&gt;"","到貨","2次發包中"),IF(AE370&lt;&gt;"",IF(AO370&lt;&gt;"","到貨","發包中"),"")))))</f>
        <v/>
      </c>
      <c r="AW370" s="86">
        <f>IF(OR($AW$6=Y370),$AW$6,"")</f>
        <v/>
      </c>
      <c r="AX370" s="87">
        <f t="array" ref="AX370">IF(OR(AV370:AW370={"到貨","庫存"}),"完成","")</f>
        <v/>
      </c>
      <c r="AY370" s="92">
        <f>E370*$M$1</f>
        <v/>
      </c>
    </row>
    <row r="371" outlineLevel="1" ht="14.25" customHeight="1">
      <c r="A371" s="67" t="n">
        <v>301</v>
      </c>
      <c r="B371" s="526" t="n"/>
      <c r="C371" s="393" t="n"/>
      <c r="D371" s="427" t="n"/>
      <c r="E371" s="526" t="n"/>
      <c r="F371" s="526" t="n"/>
      <c r="G371" s="527" t="n"/>
      <c r="H371" s="393" t="n"/>
      <c r="I371" s="528" t="n"/>
      <c r="J371" s="528" t="n"/>
      <c r="K371" s="528" t="n"/>
      <c r="L371" s="529" t="n"/>
      <c r="M371" s="529" t="n"/>
      <c r="N371" s="530" t="n"/>
      <c r="O371" s="531" t="n"/>
      <c r="P371" s="527" t="n"/>
      <c r="Q371" s="528" t="n"/>
      <c r="R371" s="528" t="n"/>
      <c r="S371" s="528" t="n"/>
      <c r="T371" s="543" t="n"/>
      <c r="U371" s="534" t="n"/>
      <c r="V371" s="516" t="n"/>
      <c r="W371" s="535" t="n"/>
      <c r="X371" s="536" t="n"/>
      <c r="Y371" s="519" t="n"/>
      <c r="Z371" s="683" t="n"/>
      <c r="AA371" s="684" t="n"/>
      <c r="AB371" s="684" t="n"/>
      <c r="AC371" s="684" t="n"/>
      <c r="AD371" s="685" t="n"/>
      <c r="AE371" s="686" t="n"/>
      <c r="AF371" s="684" t="n"/>
      <c r="AG371" s="687" t="n"/>
      <c r="AH371" s="687" t="n"/>
      <c r="AI371" s="684" t="n"/>
      <c r="AJ371" s="686" t="n"/>
      <c r="AK371" s="687" t="n"/>
      <c r="AL371" s="687" t="n"/>
      <c r="AM371" s="687" t="n"/>
      <c r="AN371" s="688" t="n"/>
      <c r="AO371" s="686" t="n"/>
      <c r="AP371" s="689" t="n"/>
      <c r="AQ371" s="689" t="n"/>
      <c r="AR371" s="689" t="n"/>
      <c r="AS371" s="690" t="n"/>
      <c r="AT371" s="691">
        <f>IF(AJ371&lt;&gt;"",(IF(AV371="到貨","",(AJ371-TODAY()))),"")</f>
        <v/>
      </c>
      <c r="AU371" s="692">
        <f>IF(AO371&lt;&gt;"",(AO371-AE371),"")</f>
        <v/>
      </c>
      <c r="AV371" s="86">
        <f>IF(AI371&lt;&gt;"",IF(AS371&lt;&gt;"","到貨","5次發包中"),IF(AH371&lt;&gt;"",IF(AR371&lt;&gt;"","到貨","4次發包中"),IF(AG371&lt;&gt;"",IF(AQ371&lt;&gt;"","到貨","3次發包中"),IF(AF371&lt;&gt;"",IF(AP371&lt;&gt;"","到貨","2次發包中"),IF(AE371&lt;&gt;"",IF(AO371&lt;&gt;"","到貨","發包中"),"")))))</f>
        <v/>
      </c>
      <c r="AW371" s="86">
        <f>IF(OR($AW$6=Y371),$AW$6,"")</f>
        <v/>
      </c>
      <c r="AX371" s="87">
        <f t="array" ref="AX371">IF(OR(AV371:AW371={"到貨","庫存"}),"完成","")</f>
        <v/>
      </c>
      <c r="AY371" s="92">
        <f>E371*$M$1</f>
        <v/>
      </c>
    </row>
    <row r="372" outlineLevel="1" ht="14.25" customHeight="1">
      <c r="A372" s="67" t="n">
        <v>301</v>
      </c>
      <c r="B372" s="526" t="n"/>
      <c r="C372" s="393" t="n"/>
      <c r="D372" s="427" t="n"/>
      <c r="E372" s="526" t="n"/>
      <c r="F372" s="526" t="n"/>
      <c r="G372" s="527" t="n"/>
      <c r="H372" s="393" t="n"/>
      <c r="I372" s="528" t="n"/>
      <c r="J372" s="528" t="n"/>
      <c r="K372" s="528" t="n"/>
      <c r="L372" s="529" t="n"/>
      <c r="M372" s="529" t="n"/>
      <c r="N372" s="530" t="n"/>
      <c r="O372" s="531" t="n"/>
      <c r="P372" s="527" t="n"/>
      <c r="Q372" s="528" t="n"/>
      <c r="R372" s="528" t="n"/>
      <c r="S372" s="528" t="n"/>
      <c r="T372" s="543" t="n"/>
      <c r="U372" s="534" t="n"/>
      <c r="V372" s="516" t="n"/>
      <c r="W372" s="535" t="n"/>
      <c r="X372" s="536" t="n"/>
      <c r="Y372" s="519" t="n"/>
      <c r="Z372" s="683" t="n"/>
      <c r="AA372" s="684" t="n"/>
      <c r="AB372" s="684" t="n"/>
      <c r="AC372" s="684" t="n"/>
      <c r="AD372" s="685" t="n"/>
      <c r="AE372" s="686" t="n"/>
      <c r="AF372" s="684" t="n"/>
      <c r="AG372" s="687" t="n"/>
      <c r="AH372" s="687" t="n"/>
      <c r="AI372" s="684" t="n"/>
      <c r="AJ372" s="686" t="n"/>
      <c r="AK372" s="687" t="n"/>
      <c r="AL372" s="687" t="n"/>
      <c r="AM372" s="687" t="n"/>
      <c r="AN372" s="688" t="n"/>
      <c r="AO372" s="686" t="n"/>
      <c r="AP372" s="689" t="n"/>
      <c r="AQ372" s="689" t="n"/>
      <c r="AR372" s="689" t="n"/>
      <c r="AS372" s="690" t="n"/>
      <c r="AT372" s="691">
        <f>IF(AJ372&lt;&gt;"",(IF(AV372="到貨","",(AJ372-TODAY()))),"")</f>
        <v/>
      </c>
      <c r="AU372" s="692">
        <f>IF(AO372&lt;&gt;"",(AO372-AE372),"")</f>
        <v/>
      </c>
      <c r="AV372" s="86">
        <f>IF(AI372&lt;&gt;"",IF(AS372&lt;&gt;"","到貨","5次發包中"),IF(AH372&lt;&gt;"",IF(AR372&lt;&gt;"","到貨","4次發包中"),IF(AG372&lt;&gt;"",IF(AQ372&lt;&gt;"","到貨","3次發包中"),IF(AF372&lt;&gt;"",IF(AP372&lt;&gt;"","到貨","2次發包中"),IF(AE372&lt;&gt;"",IF(AO372&lt;&gt;"","到貨","發包中"),"")))))</f>
        <v/>
      </c>
      <c r="AW372" s="86">
        <f>IF(OR($AW$6=Y372),$AW$6,"")</f>
        <v/>
      </c>
      <c r="AX372" s="87">
        <f t="array" ref="AX372">IF(OR(AV372:AW372={"到貨","庫存"}),"完成","")</f>
        <v/>
      </c>
      <c r="AY372" s="92">
        <f>E372*$M$1</f>
        <v/>
      </c>
    </row>
    <row r="373" outlineLevel="1" ht="14.25" customHeight="1">
      <c r="A373" s="67" t="n">
        <v>301</v>
      </c>
      <c r="B373" s="526" t="n"/>
      <c r="C373" s="393" t="n"/>
      <c r="D373" s="427" t="n"/>
      <c r="E373" s="526" t="n"/>
      <c r="F373" s="526" t="n"/>
      <c r="G373" s="527" t="n"/>
      <c r="H373" s="393" t="n"/>
      <c r="I373" s="528" t="n"/>
      <c r="J373" s="528" t="n"/>
      <c r="K373" s="528" t="n"/>
      <c r="L373" s="529" t="n"/>
      <c r="M373" s="529" t="n"/>
      <c r="N373" s="530" t="n"/>
      <c r="O373" s="531" t="n"/>
      <c r="P373" s="527" t="n"/>
      <c r="Q373" s="528" t="n"/>
      <c r="R373" s="528" t="n"/>
      <c r="S373" s="528" t="n"/>
      <c r="T373" s="543" t="n"/>
      <c r="U373" s="534" t="n"/>
      <c r="V373" s="516" t="n"/>
      <c r="W373" s="535" t="n"/>
      <c r="X373" s="536" t="n"/>
      <c r="Y373" s="519" t="n"/>
      <c r="Z373" s="683" t="n"/>
      <c r="AA373" s="684" t="n"/>
      <c r="AB373" s="684" t="n"/>
      <c r="AC373" s="684" t="n"/>
      <c r="AD373" s="685" t="n"/>
      <c r="AE373" s="686" t="n"/>
      <c r="AF373" s="684" t="n"/>
      <c r="AG373" s="687" t="n"/>
      <c r="AH373" s="687" t="n"/>
      <c r="AI373" s="684" t="n"/>
      <c r="AJ373" s="686" t="n"/>
      <c r="AK373" s="687" t="n"/>
      <c r="AL373" s="687" t="n"/>
      <c r="AM373" s="687" t="n"/>
      <c r="AN373" s="688" t="n"/>
      <c r="AO373" s="686" t="n"/>
      <c r="AP373" s="689" t="n"/>
      <c r="AQ373" s="689" t="n"/>
      <c r="AR373" s="689" t="n"/>
      <c r="AS373" s="690" t="n"/>
      <c r="AT373" s="691">
        <f>IF(AJ373&lt;&gt;"",(IF(AV373="到貨","",(AJ373-TODAY()))),"")</f>
        <v/>
      </c>
      <c r="AU373" s="692">
        <f>IF(AO373&lt;&gt;"",(AO373-AE373),"")</f>
        <v/>
      </c>
      <c r="AV373" s="86">
        <f>IF(AI373&lt;&gt;"",IF(AS373&lt;&gt;"","到貨","5次發包中"),IF(AH373&lt;&gt;"",IF(AR373&lt;&gt;"","到貨","4次發包中"),IF(AG373&lt;&gt;"",IF(AQ373&lt;&gt;"","到貨","3次發包中"),IF(AF373&lt;&gt;"",IF(AP373&lt;&gt;"","到貨","2次發包中"),IF(AE373&lt;&gt;"",IF(AO373&lt;&gt;"","到貨","發包中"),"")))))</f>
        <v/>
      </c>
      <c r="AW373" s="86">
        <f>IF(OR($AW$6=Y373),$AW$6,"")</f>
        <v/>
      </c>
      <c r="AX373" s="87">
        <f t="array" ref="AX373">IF(OR(AV373:AW373={"到貨","庫存"}),"完成","")</f>
        <v/>
      </c>
      <c r="AY373" s="92">
        <f>E373*$M$1</f>
        <v/>
      </c>
    </row>
    <row r="374" outlineLevel="1" ht="14.25" customHeight="1">
      <c r="A374" s="67" t="n">
        <v>301</v>
      </c>
      <c r="B374" s="526" t="n"/>
      <c r="C374" s="393" t="n"/>
      <c r="D374" s="427" t="n"/>
      <c r="E374" s="526" t="n"/>
      <c r="F374" s="526" t="n"/>
      <c r="G374" s="527" t="n"/>
      <c r="H374" s="393" t="n"/>
      <c r="I374" s="528" t="n"/>
      <c r="J374" s="528" t="n"/>
      <c r="K374" s="528" t="n"/>
      <c r="L374" s="529" t="n"/>
      <c r="M374" s="529" t="n"/>
      <c r="N374" s="530" t="n"/>
      <c r="O374" s="531" t="n"/>
      <c r="P374" s="527" t="n"/>
      <c r="Q374" s="528" t="n"/>
      <c r="R374" s="528" t="n"/>
      <c r="S374" s="528" t="n"/>
      <c r="T374" s="543" t="n"/>
      <c r="U374" s="534" t="n"/>
      <c r="V374" s="516" t="n"/>
      <c r="W374" s="535" t="n"/>
      <c r="X374" s="536" t="n"/>
      <c r="Y374" s="519" t="n"/>
      <c r="Z374" s="683" t="n"/>
      <c r="AA374" s="684" t="n"/>
      <c r="AB374" s="684" t="n"/>
      <c r="AC374" s="684" t="n"/>
      <c r="AD374" s="685" t="n"/>
      <c r="AE374" s="686" t="n"/>
      <c r="AF374" s="684" t="n"/>
      <c r="AG374" s="687" t="n"/>
      <c r="AH374" s="687" t="n"/>
      <c r="AI374" s="684" t="n"/>
      <c r="AJ374" s="686" t="n"/>
      <c r="AK374" s="687" t="n"/>
      <c r="AL374" s="687" t="n"/>
      <c r="AM374" s="687" t="n"/>
      <c r="AN374" s="688" t="n"/>
      <c r="AO374" s="686" t="n"/>
      <c r="AP374" s="689" t="n"/>
      <c r="AQ374" s="689" t="n"/>
      <c r="AR374" s="689" t="n"/>
      <c r="AS374" s="690" t="n"/>
      <c r="AT374" s="691">
        <f>IF(AJ374&lt;&gt;"",(IF(AV374="到貨","",(AJ374-TODAY()))),"")</f>
        <v/>
      </c>
      <c r="AU374" s="692">
        <f>IF(AO374&lt;&gt;"",(AO374-AE374),"")</f>
        <v/>
      </c>
      <c r="AV374" s="86">
        <f>IF(AI374&lt;&gt;"",IF(AS374&lt;&gt;"","到貨","5次發包中"),IF(AH374&lt;&gt;"",IF(AR374&lt;&gt;"","到貨","4次發包中"),IF(AG374&lt;&gt;"",IF(AQ374&lt;&gt;"","到貨","3次發包中"),IF(AF374&lt;&gt;"",IF(AP374&lt;&gt;"","到貨","2次發包中"),IF(AE374&lt;&gt;"",IF(AO374&lt;&gt;"","到貨","發包中"),"")))))</f>
        <v/>
      </c>
      <c r="AW374" s="86">
        <f>IF(OR($AW$6=Y374),$AW$6,"")</f>
        <v/>
      </c>
      <c r="AX374" s="87">
        <f t="array" ref="AX374">IF(OR(AV374:AW374={"到貨","庫存"}),"完成","")</f>
        <v/>
      </c>
      <c r="AY374" s="92">
        <f>E374*$M$1</f>
        <v/>
      </c>
    </row>
    <row r="375" outlineLevel="1" ht="14.25" customHeight="1">
      <c r="A375" s="67" t="n">
        <v>301</v>
      </c>
      <c r="B375" s="526" t="n"/>
      <c r="C375" s="393" t="n"/>
      <c r="D375" s="427" t="n"/>
      <c r="E375" s="526" t="n"/>
      <c r="F375" s="526" t="n"/>
      <c r="G375" s="527" t="n"/>
      <c r="H375" s="393" t="n"/>
      <c r="I375" s="528" t="n"/>
      <c r="J375" s="528" t="n"/>
      <c r="K375" s="528" t="n"/>
      <c r="L375" s="529" t="n"/>
      <c r="M375" s="529" t="n"/>
      <c r="N375" s="530" t="n"/>
      <c r="O375" s="531" t="n"/>
      <c r="P375" s="527" t="n"/>
      <c r="Q375" s="528" t="n"/>
      <c r="R375" s="528" t="n"/>
      <c r="S375" s="528" t="n"/>
      <c r="T375" s="543" t="n"/>
      <c r="U375" s="534" t="n"/>
      <c r="V375" s="516" t="n"/>
      <c r="W375" s="535" t="n"/>
      <c r="X375" s="536" t="n"/>
      <c r="Y375" s="519" t="n"/>
      <c r="Z375" s="683" t="n"/>
      <c r="AA375" s="684" t="n"/>
      <c r="AB375" s="684" t="n"/>
      <c r="AC375" s="684" t="n"/>
      <c r="AD375" s="685" t="n"/>
      <c r="AE375" s="686" t="n"/>
      <c r="AF375" s="684" t="n"/>
      <c r="AG375" s="687" t="n"/>
      <c r="AH375" s="687" t="n"/>
      <c r="AI375" s="684" t="n"/>
      <c r="AJ375" s="686" t="n"/>
      <c r="AK375" s="687" t="n"/>
      <c r="AL375" s="687" t="n"/>
      <c r="AM375" s="687" t="n"/>
      <c r="AN375" s="688" t="n"/>
      <c r="AO375" s="686" t="n"/>
      <c r="AP375" s="689" t="n"/>
      <c r="AQ375" s="689" t="n"/>
      <c r="AR375" s="689" t="n"/>
      <c r="AS375" s="690" t="n"/>
      <c r="AT375" s="691">
        <f>IF(AJ375&lt;&gt;"",(IF(AV375="到貨","",(AJ375-TODAY()))),"")</f>
        <v/>
      </c>
      <c r="AU375" s="692">
        <f>IF(AO375&lt;&gt;"",(AO375-AE375),"")</f>
        <v/>
      </c>
      <c r="AV375" s="86">
        <f>IF(AI375&lt;&gt;"",IF(AS375&lt;&gt;"","到貨","5次發包中"),IF(AH375&lt;&gt;"",IF(AR375&lt;&gt;"","到貨","4次發包中"),IF(AG375&lt;&gt;"",IF(AQ375&lt;&gt;"","到貨","3次發包中"),IF(AF375&lt;&gt;"",IF(AP375&lt;&gt;"","到貨","2次發包中"),IF(AE375&lt;&gt;"",IF(AO375&lt;&gt;"","到貨","發包中"),"")))))</f>
        <v/>
      </c>
      <c r="AW375" s="86">
        <f>IF(OR($AW$6=Y375),$AW$6,"")</f>
        <v/>
      </c>
      <c r="AX375" s="87">
        <f t="array" ref="AX375">IF(OR(AV375:AW375={"到貨","庫存"}),"完成","")</f>
        <v/>
      </c>
      <c r="AY375" s="92">
        <f>E375*$M$1</f>
        <v/>
      </c>
    </row>
    <row r="376" outlineLevel="1" ht="14.25" customHeight="1">
      <c r="A376" s="67" t="n">
        <v>301</v>
      </c>
      <c r="B376" s="526" t="n"/>
      <c r="C376" s="393" t="n"/>
      <c r="D376" s="427" t="n"/>
      <c r="E376" s="526" t="n"/>
      <c r="F376" s="526" t="n"/>
      <c r="G376" s="527" t="n"/>
      <c r="H376" s="393" t="n"/>
      <c r="I376" s="528" t="n"/>
      <c r="J376" s="528" t="n"/>
      <c r="K376" s="528" t="n"/>
      <c r="L376" s="529" t="n"/>
      <c r="M376" s="529" t="n"/>
      <c r="N376" s="530" t="n"/>
      <c r="O376" s="531" t="n"/>
      <c r="P376" s="527" t="n"/>
      <c r="Q376" s="528" t="n"/>
      <c r="R376" s="528" t="n"/>
      <c r="S376" s="528" t="n"/>
      <c r="T376" s="543" t="n"/>
      <c r="U376" s="534" t="n"/>
      <c r="V376" s="516" t="n"/>
      <c r="W376" s="535" t="n"/>
      <c r="X376" s="536" t="n"/>
      <c r="Y376" s="519" t="n"/>
      <c r="Z376" s="683" t="n"/>
      <c r="AA376" s="684" t="n"/>
      <c r="AB376" s="684" t="n"/>
      <c r="AC376" s="684" t="n"/>
      <c r="AD376" s="685" t="n"/>
      <c r="AE376" s="686" t="n"/>
      <c r="AF376" s="684" t="n"/>
      <c r="AG376" s="687" t="n"/>
      <c r="AH376" s="687" t="n"/>
      <c r="AI376" s="684" t="n"/>
      <c r="AJ376" s="686" t="n"/>
      <c r="AK376" s="687" t="n"/>
      <c r="AL376" s="687" t="n"/>
      <c r="AM376" s="687" t="n"/>
      <c r="AN376" s="688" t="n"/>
      <c r="AO376" s="686" t="n"/>
      <c r="AP376" s="689" t="n"/>
      <c r="AQ376" s="689" t="n"/>
      <c r="AR376" s="689" t="n"/>
      <c r="AS376" s="690" t="n"/>
      <c r="AT376" s="691">
        <f>IF(AJ376&lt;&gt;"",(IF(AV376="到貨","",(AJ376-TODAY()))),"")</f>
        <v/>
      </c>
      <c r="AU376" s="692">
        <f>IF(AO376&lt;&gt;"",(AO376-AE376),"")</f>
        <v/>
      </c>
      <c r="AV376" s="86">
        <f>IF(AI376&lt;&gt;"",IF(AS376&lt;&gt;"","到貨","5次發包中"),IF(AH376&lt;&gt;"",IF(AR376&lt;&gt;"","到貨","4次發包中"),IF(AG376&lt;&gt;"",IF(AQ376&lt;&gt;"","到貨","3次發包中"),IF(AF376&lt;&gt;"",IF(AP376&lt;&gt;"","到貨","2次發包中"),IF(AE376&lt;&gt;"",IF(AO376&lt;&gt;"","到貨","發包中"),"")))))</f>
        <v/>
      </c>
      <c r="AW376" s="86">
        <f>IF(OR($AW$6=Y376),$AW$6,"")</f>
        <v/>
      </c>
      <c r="AX376" s="87">
        <f t="array" ref="AX376">IF(OR(AV376:AW376={"到貨","庫存"}),"完成","")</f>
        <v/>
      </c>
      <c r="AY376" s="92">
        <f>E376*$M$1</f>
        <v/>
      </c>
    </row>
    <row r="377" outlineLevel="1" ht="14.25" customHeight="1">
      <c r="A377" s="67" t="n">
        <v>301</v>
      </c>
      <c r="B377" s="526" t="n"/>
      <c r="C377" s="393" t="n"/>
      <c r="D377" s="427" t="n"/>
      <c r="E377" s="526" t="n"/>
      <c r="F377" s="526" t="n"/>
      <c r="G377" s="527" t="n"/>
      <c r="H377" s="393" t="n"/>
      <c r="I377" s="528" t="n"/>
      <c r="J377" s="528" t="n"/>
      <c r="K377" s="528" t="n"/>
      <c r="L377" s="529" t="n"/>
      <c r="M377" s="529" t="n"/>
      <c r="N377" s="530" t="n"/>
      <c r="O377" s="531" t="n"/>
      <c r="P377" s="527" t="n"/>
      <c r="Q377" s="528" t="n"/>
      <c r="R377" s="528" t="n"/>
      <c r="S377" s="528" t="n"/>
      <c r="T377" s="543" t="n"/>
      <c r="U377" s="534" t="n"/>
      <c r="V377" s="516" t="n"/>
      <c r="W377" s="535" t="n"/>
      <c r="X377" s="536" t="n"/>
      <c r="Y377" s="519" t="n"/>
      <c r="Z377" s="683" t="n"/>
      <c r="AA377" s="684" t="n"/>
      <c r="AB377" s="684" t="n"/>
      <c r="AC377" s="684" t="n"/>
      <c r="AD377" s="685" t="n"/>
      <c r="AE377" s="686" t="n"/>
      <c r="AF377" s="684" t="n"/>
      <c r="AG377" s="687" t="n"/>
      <c r="AH377" s="687" t="n"/>
      <c r="AI377" s="684" t="n"/>
      <c r="AJ377" s="686" t="n"/>
      <c r="AK377" s="687" t="n"/>
      <c r="AL377" s="687" t="n"/>
      <c r="AM377" s="687" t="n"/>
      <c r="AN377" s="688" t="n"/>
      <c r="AO377" s="686" t="n"/>
      <c r="AP377" s="689" t="n"/>
      <c r="AQ377" s="689" t="n"/>
      <c r="AR377" s="689" t="n"/>
      <c r="AS377" s="690" t="n"/>
      <c r="AT377" s="691">
        <f>IF(AJ377&lt;&gt;"",(IF(AV377="到貨","",(AJ377-TODAY()))),"")</f>
        <v/>
      </c>
      <c r="AU377" s="692">
        <f>IF(AO377&lt;&gt;"",(AO377-AE377),"")</f>
        <v/>
      </c>
      <c r="AV377" s="86">
        <f>IF(AI377&lt;&gt;"",IF(AS377&lt;&gt;"","到貨","5次發包中"),IF(AH377&lt;&gt;"",IF(AR377&lt;&gt;"","到貨","4次發包中"),IF(AG377&lt;&gt;"",IF(AQ377&lt;&gt;"","到貨","3次發包中"),IF(AF377&lt;&gt;"",IF(AP377&lt;&gt;"","到貨","2次發包中"),IF(AE377&lt;&gt;"",IF(AO377&lt;&gt;"","到貨","發包中"),"")))))</f>
        <v/>
      </c>
      <c r="AW377" s="86">
        <f>IF(OR($AW$6=Y377),$AW$6,"")</f>
        <v/>
      </c>
      <c r="AX377" s="87">
        <f t="array" ref="AX377">IF(OR(AV377:AW377={"到貨","庫存"}),"完成","")</f>
        <v/>
      </c>
      <c r="AY377" s="92">
        <f>E377*$M$1</f>
        <v/>
      </c>
    </row>
    <row r="378" outlineLevel="1" ht="14.25" customHeight="1">
      <c r="A378" s="67" t="n">
        <v>301</v>
      </c>
      <c r="B378" s="526" t="n"/>
      <c r="C378" s="393" t="n"/>
      <c r="D378" s="427" t="n"/>
      <c r="E378" s="526" t="n"/>
      <c r="F378" s="526" t="n"/>
      <c r="G378" s="527" t="n"/>
      <c r="H378" s="393" t="n"/>
      <c r="I378" s="528" t="n"/>
      <c r="J378" s="528" t="n"/>
      <c r="K378" s="528" t="n"/>
      <c r="L378" s="529" t="n"/>
      <c r="M378" s="529" t="n"/>
      <c r="N378" s="530" t="n"/>
      <c r="O378" s="531" t="n"/>
      <c r="P378" s="527" t="n"/>
      <c r="Q378" s="528" t="n"/>
      <c r="R378" s="528" t="n"/>
      <c r="S378" s="528" t="n"/>
      <c r="T378" s="543" t="n"/>
      <c r="U378" s="534" t="n"/>
      <c r="V378" s="516" t="n"/>
      <c r="W378" s="535" t="n"/>
      <c r="X378" s="536" t="n"/>
      <c r="Y378" s="519" t="n"/>
      <c r="Z378" s="683" t="n"/>
      <c r="AA378" s="684" t="n"/>
      <c r="AB378" s="684" t="n"/>
      <c r="AC378" s="684" t="n"/>
      <c r="AD378" s="685" t="n"/>
      <c r="AE378" s="686" t="n"/>
      <c r="AF378" s="684" t="n"/>
      <c r="AG378" s="687" t="n"/>
      <c r="AH378" s="687" t="n"/>
      <c r="AI378" s="684" t="n"/>
      <c r="AJ378" s="686" t="n"/>
      <c r="AK378" s="687" t="n"/>
      <c r="AL378" s="687" t="n"/>
      <c r="AM378" s="687" t="n"/>
      <c r="AN378" s="688" t="n"/>
      <c r="AO378" s="686" t="n"/>
      <c r="AP378" s="689" t="n"/>
      <c r="AQ378" s="689" t="n"/>
      <c r="AR378" s="689" t="n"/>
      <c r="AS378" s="690" t="n"/>
      <c r="AT378" s="691">
        <f>IF(AJ378&lt;&gt;"",(IF(AV378="到貨","",(AJ378-TODAY()))),"")</f>
        <v/>
      </c>
      <c r="AU378" s="692">
        <f>IF(AO378&lt;&gt;"",(AO378-AE378),"")</f>
        <v/>
      </c>
      <c r="AV378" s="86">
        <f>IF(AI378&lt;&gt;"",IF(AS378&lt;&gt;"","到貨","5次發包中"),IF(AH378&lt;&gt;"",IF(AR378&lt;&gt;"","到貨","4次發包中"),IF(AG378&lt;&gt;"",IF(AQ378&lt;&gt;"","到貨","3次發包中"),IF(AF378&lt;&gt;"",IF(AP378&lt;&gt;"","到貨","2次發包中"),IF(AE378&lt;&gt;"",IF(AO378&lt;&gt;"","到貨","發包中"),"")))))</f>
        <v/>
      </c>
      <c r="AW378" s="86">
        <f>IF(OR($AW$6=Y378),$AW$6,"")</f>
        <v/>
      </c>
      <c r="AX378" s="87">
        <f t="array" ref="AX378">IF(OR(AV378:AW378={"到貨","庫存"}),"完成","")</f>
        <v/>
      </c>
      <c r="AY378" s="92">
        <f>E378*$M$1</f>
        <v/>
      </c>
    </row>
    <row r="379" outlineLevel="1" ht="14.25" customHeight="1">
      <c r="A379" s="67" t="n">
        <v>301</v>
      </c>
      <c r="B379" s="526" t="n"/>
      <c r="C379" s="393" t="n"/>
      <c r="D379" s="427" t="n"/>
      <c r="E379" s="526" t="n"/>
      <c r="F379" s="526" t="n"/>
      <c r="G379" s="527" t="n"/>
      <c r="H379" s="393" t="n"/>
      <c r="I379" s="528" t="n"/>
      <c r="J379" s="528" t="n"/>
      <c r="K379" s="528" t="n"/>
      <c r="L379" s="529" t="n"/>
      <c r="M379" s="529" t="n"/>
      <c r="N379" s="530" t="n"/>
      <c r="O379" s="531" t="n"/>
      <c r="P379" s="527" t="n"/>
      <c r="Q379" s="528" t="n"/>
      <c r="R379" s="528" t="n"/>
      <c r="S379" s="528" t="n"/>
      <c r="T379" s="543" t="n"/>
      <c r="U379" s="534" t="n"/>
      <c r="V379" s="516" t="n"/>
      <c r="W379" s="535" t="n"/>
      <c r="X379" s="536" t="n"/>
      <c r="Y379" s="519" t="n"/>
      <c r="Z379" s="683" t="n"/>
      <c r="AA379" s="684" t="n"/>
      <c r="AB379" s="684" t="n"/>
      <c r="AC379" s="684" t="n"/>
      <c r="AD379" s="685" t="n"/>
      <c r="AE379" s="686" t="n"/>
      <c r="AF379" s="684" t="n"/>
      <c r="AG379" s="687" t="n"/>
      <c r="AH379" s="687" t="n"/>
      <c r="AI379" s="684" t="n"/>
      <c r="AJ379" s="686" t="n"/>
      <c r="AK379" s="687" t="n"/>
      <c r="AL379" s="687" t="n"/>
      <c r="AM379" s="687" t="n"/>
      <c r="AN379" s="688" t="n"/>
      <c r="AO379" s="686" t="n"/>
      <c r="AP379" s="689" t="n"/>
      <c r="AQ379" s="689" t="n"/>
      <c r="AR379" s="689" t="n"/>
      <c r="AS379" s="690" t="n"/>
      <c r="AT379" s="691">
        <f>IF(AJ379&lt;&gt;"",(IF(AV379="到貨","",(AJ379-TODAY()))),"")</f>
        <v/>
      </c>
      <c r="AU379" s="692">
        <f>IF(AO379&lt;&gt;"",(AO379-AE379),"")</f>
        <v/>
      </c>
      <c r="AV379" s="86">
        <f>IF(AI379&lt;&gt;"",IF(AS379&lt;&gt;"","到貨","5次發包中"),IF(AH379&lt;&gt;"",IF(AR379&lt;&gt;"","到貨","4次發包中"),IF(AG379&lt;&gt;"",IF(AQ379&lt;&gt;"","到貨","3次發包中"),IF(AF379&lt;&gt;"",IF(AP379&lt;&gt;"","到貨","2次發包中"),IF(AE379&lt;&gt;"",IF(AO379&lt;&gt;"","到貨","發包中"),"")))))</f>
        <v/>
      </c>
      <c r="AW379" s="86">
        <f>IF(OR($AW$6=Y379),$AW$6,"")</f>
        <v/>
      </c>
      <c r="AX379" s="87">
        <f t="array" ref="AX379">IF(OR(AV379:AW379={"到貨","庫存"}),"完成","")</f>
        <v/>
      </c>
      <c r="AY379" s="92">
        <f>E379*$M$1</f>
        <v/>
      </c>
    </row>
    <row r="380" outlineLevel="1" ht="14.25" customHeight="1">
      <c r="A380" s="67" t="n">
        <v>301</v>
      </c>
      <c r="B380" s="526" t="n"/>
      <c r="C380" s="393" t="n"/>
      <c r="D380" s="427" t="n"/>
      <c r="E380" s="526" t="n"/>
      <c r="F380" s="526" t="n"/>
      <c r="G380" s="527" t="n"/>
      <c r="H380" s="393" t="n"/>
      <c r="I380" s="528" t="n"/>
      <c r="J380" s="528" t="n"/>
      <c r="K380" s="528" t="n"/>
      <c r="L380" s="529" t="n"/>
      <c r="M380" s="529" t="n"/>
      <c r="N380" s="530" t="n"/>
      <c r="O380" s="531" t="n"/>
      <c r="P380" s="527" t="n"/>
      <c r="Q380" s="528" t="n"/>
      <c r="R380" s="528" t="n"/>
      <c r="S380" s="528" t="n"/>
      <c r="T380" s="543" t="n"/>
      <c r="U380" s="534" t="n"/>
      <c r="V380" s="516" t="n"/>
      <c r="W380" s="535" t="n"/>
      <c r="X380" s="536" t="n"/>
      <c r="Y380" s="519" t="n"/>
      <c r="Z380" s="683" t="n"/>
      <c r="AA380" s="684" t="n"/>
      <c r="AB380" s="684" t="n"/>
      <c r="AC380" s="684" t="n"/>
      <c r="AD380" s="685" t="n"/>
      <c r="AE380" s="686" t="n"/>
      <c r="AF380" s="684" t="n"/>
      <c r="AG380" s="687" t="n"/>
      <c r="AH380" s="687" t="n"/>
      <c r="AI380" s="684" t="n"/>
      <c r="AJ380" s="686" t="n"/>
      <c r="AK380" s="687" t="n"/>
      <c r="AL380" s="687" t="n"/>
      <c r="AM380" s="687" t="n"/>
      <c r="AN380" s="688" t="n"/>
      <c r="AO380" s="686" t="n"/>
      <c r="AP380" s="689" t="n"/>
      <c r="AQ380" s="689" t="n"/>
      <c r="AR380" s="689" t="n"/>
      <c r="AS380" s="690" t="n"/>
      <c r="AT380" s="691">
        <f>IF(AJ380&lt;&gt;"",(IF(AV380="到貨","",(AJ380-TODAY()))),"")</f>
        <v/>
      </c>
      <c r="AU380" s="692">
        <f>IF(AO380&lt;&gt;"",(AO380-AE380),"")</f>
        <v/>
      </c>
      <c r="AV380" s="86">
        <f>IF(AI380&lt;&gt;"",IF(AS380&lt;&gt;"","到貨","5次發包中"),IF(AH380&lt;&gt;"",IF(AR380&lt;&gt;"","到貨","4次發包中"),IF(AG380&lt;&gt;"",IF(AQ380&lt;&gt;"","到貨","3次發包中"),IF(AF380&lt;&gt;"",IF(AP380&lt;&gt;"","到貨","2次發包中"),IF(AE380&lt;&gt;"",IF(AO380&lt;&gt;"","到貨","發包中"),"")))))</f>
        <v/>
      </c>
      <c r="AW380" s="86">
        <f>IF(OR($AW$6=Y380),$AW$6,"")</f>
        <v/>
      </c>
      <c r="AX380" s="87">
        <f t="array" ref="AX380">IF(OR(AV380:AW380={"到貨","庫存"}),"完成","")</f>
        <v/>
      </c>
      <c r="AY380" s="92">
        <f>E380*$M$1</f>
        <v/>
      </c>
    </row>
    <row r="381" outlineLevel="1" ht="14.25" customHeight="1">
      <c r="A381" s="67" t="n">
        <v>301</v>
      </c>
      <c r="B381" s="526" t="n"/>
      <c r="C381" s="393" t="n"/>
      <c r="D381" s="427" t="n"/>
      <c r="E381" s="526" t="n"/>
      <c r="F381" s="526" t="n"/>
      <c r="G381" s="527" t="n"/>
      <c r="H381" s="393" t="n"/>
      <c r="I381" s="528" t="n"/>
      <c r="J381" s="528" t="n"/>
      <c r="K381" s="528" t="n"/>
      <c r="L381" s="529" t="n"/>
      <c r="M381" s="529" t="n"/>
      <c r="N381" s="530" t="n"/>
      <c r="O381" s="531" t="n"/>
      <c r="P381" s="527" t="n"/>
      <c r="Q381" s="528" t="n"/>
      <c r="R381" s="528" t="n"/>
      <c r="S381" s="528" t="n"/>
      <c r="T381" s="543" t="n"/>
      <c r="U381" s="534" t="n"/>
      <c r="V381" s="516" t="n"/>
      <c r="W381" s="535" t="n"/>
      <c r="X381" s="536" t="n"/>
      <c r="Y381" s="519" t="n"/>
      <c r="Z381" s="683" t="n"/>
      <c r="AA381" s="684" t="n"/>
      <c r="AB381" s="684" t="n"/>
      <c r="AC381" s="684" t="n"/>
      <c r="AD381" s="685" t="n"/>
      <c r="AE381" s="686" t="n"/>
      <c r="AF381" s="684" t="n"/>
      <c r="AG381" s="687" t="n"/>
      <c r="AH381" s="687" t="n"/>
      <c r="AI381" s="684" t="n"/>
      <c r="AJ381" s="686" t="n"/>
      <c r="AK381" s="687" t="n"/>
      <c r="AL381" s="687" t="n"/>
      <c r="AM381" s="687" t="n"/>
      <c r="AN381" s="688" t="n"/>
      <c r="AO381" s="686" t="n"/>
      <c r="AP381" s="689" t="n"/>
      <c r="AQ381" s="689" t="n"/>
      <c r="AR381" s="689" t="n"/>
      <c r="AS381" s="690" t="n"/>
      <c r="AT381" s="691">
        <f>IF(AJ381&lt;&gt;"",(IF(AV381="到貨","",(AJ381-TODAY()))),"")</f>
        <v/>
      </c>
      <c r="AU381" s="692">
        <f>IF(AO381&lt;&gt;"",(AO381-AE381),"")</f>
        <v/>
      </c>
      <c r="AV381" s="86">
        <f>IF(AI381&lt;&gt;"",IF(AS381&lt;&gt;"","到貨","5次發包中"),IF(AH381&lt;&gt;"",IF(AR381&lt;&gt;"","到貨","4次發包中"),IF(AG381&lt;&gt;"",IF(AQ381&lt;&gt;"","到貨","3次發包中"),IF(AF381&lt;&gt;"",IF(AP381&lt;&gt;"","到貨","2次發包中"),IF(AE381&lt;&gt;"",IF(AO381&lt;&gt;"","到貨","發包中"),"")))))</f>
        <v/>
      </c>
      <c r="AW381" s="86">
        <f>IF(OR($AW$6=Y381),$AW$6,"")</f>
        <v/>
      </c>
      <c r="AX381" s="87">
        <f t="array" ref="AX381">IF(OR(AV381:AW381={"到貨","庫存"}),"完成","")</f>
        <v/>
      </c>
      <c r="AY381" s="92">
        <f>E381*$M$1</f>
        <v/>
      </c>
    </row>
    <row r="382" outlineLevel="1" ht="14.25" customHeight="1">
      <c r="A382" s="67" t="n">
        <v>301</v>
      </c>
      <c r="B382" s="526" t="n"/>
      <c r="C382" s="393" t="n"/>
      <c r="D382" s="427" t="n"/>
      <c r="E382" s="526" t="n"/>
      <c r="F382" s="526" t="n"/>
      <c r="G382" s="527" t="n"/>
      <c r="H382" s="393" t="n"/>
      <c r="I382" s="528" t="n"/>
      <c r="J382" s="528" t="n"/>
      <c r="K382" s="528" t="n"/>
      <c r="L382" s="529" t="n"/>
      <c r="M382" s="529" t="n"/>
      <c r="N382" s="530" t="n"/>
      <c r="O382" s="531" t="n"/>
      <c r="P382" s="527" t="n"/>
      <c r="Q382" s="528" t="n"/>
      <c r="R382" s="528" t="n"/>
      <c r="S382" s="528" t="n"/>
      <c r="T382" s="543" t="n"/>
      <c r="U382" s="534" t="n"/>
      <c r="V382" s="516" t="n"/>
      <c r="W382" s="535" t="n"/>
      <c r="X382" s="536" t="n"/>
      <c r="Y382" s="519" t="n"/>
      <c r="Z382" s="683" t="n"/>
      <c r="AA382" s="684" t="n"/>
      <c r="AB382" s="684" t="n"/>
      <c r="AC382" s="684" t="n"/>
      <c r="AD382" s="685" t="n"/>
      <c r="AE382" s="686" t="n"/>
      <c r="AF382" s="684" t="n"/>
      <c r="AG382" s="687" t="n"/>
      <c r="AH382" s="687" t="n"/>
      <c r="AI382" s="684" t="n"/>
      <c r="AJ382" s="686" t="n"/>
      <c r="AK382" s="687" t="n"/>
      <c r="AL382" s="687" t="n"/>
      <c r="AM382" s="687" t="n"/>
      <c r="AN382" s="688" t="n"/>
      <c r="AO382" s="686" t="n"/>
      <c r="AP382" s="689" t="n"/>
      <c r="AQ382" s="689" t="n"/>
      <c r="AR382" s="689" t="n"/>
      <c r="AS382" s="690" t="n"/>
      <c r="AT382" s="691">
        <f>IF(AJ382&lt;&gt;"",(IF(AV382="到貨","",(AJ382-TODAY()))),"")</f>
        <v/>
      </c>
      <c r="AU382" s="692">
        <f>IF(AO382&lt;&gt;"",(AO382-AE382),"")</f>
        <v/>
      </c>
      <c r="AV382" s="86">
        <f>IF(AI382&lt;&gt;"",IF(AS382&lt;&gt;"","到貨","5次發包中"),IF(AH382&lt;&gt;"",IF(AR382&lt;&gt;"","到貨","4次發包中"),IF(AG382&lt;&gt;"",IF(AQ382&lt;&gt;"","到貨","3次發包中"),IF(AF382&lt;&gt;"",IF(AP382&lt;&gt;"","到貨","2次發包中"),IF(AE382&lt;&gt;"",IF(AO382&lt;&gt;"","到貨","發包中"),"")))))</f>
        <v/>
      </c>
      <c r="AW382" s="86">
        <f>IF(OR($AW$6=Y382),$AW$6,"")</f>
        <v/>
      </c>
      <c r="AX382" s="87">
        <f t="array" ref="AX382">IF(OR(AV382:AW382={"到貨","庫存"}),"完成","")</f>
        <v/>
      </c>
      <c r="AY382" s="92">
        <f>E382*$M$1</f>
        <v/>
      </c>
    </row>
    <row r="383" outlineLevel="1" ht="14.25" customHeight="1">
      <c r="A383" s="67" t="n">
        <v>301</v>
      </c>
      <c r="B383" s="526" t="n"/>
      <c r="C383" s="393" t="n"/>
      <c r="D383" s="427" t="n"/>
      <c r="E383" s="526" t="n"/>
      <c r="F383" s="526" t="n"/>
      <c r="G383" s="527" t="n"/>
      <c r="H383" s="393" t="n"/>
      <c r="I383" s="528" t="n"/>
      <c r="J383" s="528" t="n"/>
      <c r="K383" s="528" t="n"/>
      <c r="L383" s="529" t="n"/>
      <c r="M383" s="529" t="n"/>
      <c r="N383" s="530" t="n"/>
      <c r="O383" s="531" t="n"/>
      <c r="P383" s="527" t="n"/>
      <c r="Q383" s="528" t="n"/>
      <c r="R383" s="528" t="n"/>
      <c r="S383" s="528" t="n"/>
      <c r="T383" s="543" t="n"/>
      <c r="U383" s="534" t="n"/>
      <c r="V383" s="516" t="n"/>
      <c r="W383" s="535" t="n"/>
      <c r="X383" s="536" t="n"/>
      <c r="Y383" s="519" t="n"/>
      <c r="Z383" s="683" t="n"/>
      <c r="AA383" s="684" t="n"/>
      <c r="AB383" s="684" t="n"/>
      <c r="AC383" s="684" t="n"/>
      <c r="AD383" s="685" t="n"/>
      <c r="AE383" s="686" t="n"/>
      <c r="AF383" s="684" t="n"/>
      <c r="AG383" s="687" t="n"/>
      <c r="AH383" s="687" t="n"/>
      <c r="AI383" s="684" t="n"/>
      <c r="AJ383" s="686" t="n"/>
      <c r="AK383" s="687" t="n"/>
      <c r="AL383" s="687" t="n"/>
      <c r="AM383" s="687" t="n"/>
      <c r="AN383" s="688" t="n"/>
      <c r="AO383" s="686" t="n"/>
      <c r="AP383" s="689" t="n"/>
      <c r="AQ383" s="689" t="n"/>
      <c r="AR383" s="689" t="n"/>
      <c r="AS383" s="690" t="n"/>
      <c r="AT383" s="691">
        <f>IF(AJ383&lt;&gt;"",(IF(AV383="到貨","",(AJ383-TODAY()))),"")</f>
        <v/>
      </c>
      <c r="AU383" s="692">
        <f>IF(AO383&lt;&gt;"",(AO383-AE383),"")</f>
        <v/>
      </c>
      <c r="AV383" s="86">
        <f>IF(AI383&lt;&gt;"",IF(AS383&lt;&gt;"","到貨","5次發包中"),IF(AH383&lt;&gt;"",IF(AR383&lt;&gt;"","到貨","4次發包中"),IF(AG383&lt;&gt;"",IF(AQ383&lt;&gt;"","到貨","3次發包中"),IF(AF383&lt;&gt;"",IF(AP383&lt;&gt;"","到貨","2次發包中"),IF(AE383&lt;&gt;"",IF(AO383&lt;&gt;"","到貨","發包中"),"")))))</f>
        <v/>
      </c>
      <c r="AW383" s="86">
        <f>IF(OR($AW$6=Y383),$AW$6,"")</f>
        <v/>
      </c>
      <c r="AX383" s="87">
        <f t="array" ref="AX383">IF(OR(AV383:AW383={"到貨","庫存"}),"完成","")</f>
        <v/>
      </c>
      <c r="AY383" s="92">
        <f>E383*$M$1</f>
        <v/>
      </c>
    </row>
    <row r="384" outlineLevel="1" ht="14.25" customHeight="1">
      <c r="A384" s="67" t="n">
        <v>301</v>
      </c>
      <c r="B384" s="526" t="n"/>
      <c r="C384" s="393" t="n"/>
      <c r="D384" s="427" t="n"/>
      <c r="E384" s="526" t="n"/>
      <c r="F384" s="526" t="n"/>
      <c r="G384" s="527" t="n"/>
      <c r="H384" s="393" t="n"/>
      <c r="I384" s="528" t="n"/>
      <c r="J384" s="528" t="n"/>
      <c r="K384" s="528" t="n"/>
      <c r="L384" s="529" t="n"/>
      <c r="M384" s="529" t="n"/>
      <c r="N384" s="530" t="n"/>
      <c r="O384" s="531" t="n"/>
      <c r="P384" s="527" t="n"/>
      <c r="Q384" s="528" t="n"/>
      <c r="R384" s="528" t="n"/>
      <c r="S384" s="528" t="n"/>
      <c r="T384" s="543" t="n"/>
      <c r="U384" s="534" t="n"/>
      <c r="V384" s="516" t="n"/>
      <c r="W384" s="535" t="n"/>
      <c r="X384" s="536" t="n"/>
      <c r="Y384" s="519" t="n"/>
      <c r="Z384" s="683" t="n"/>
      <c r="AA384" s="684" t="n"/>
      <c r="AB384" s="684" t="n"/>
      <c r="AC384" s="684" t="n"/>
      <c r="AD384" s="685" t="n"/>
      <c r="AE384" s="686" t="n"/>
      <c r="AF384" s="684" t="n"/>
      <c r="AG384" s="687" t="n"/>
      <c r="AH384" s="687" t="n"/>
      <c r="AI384" s="684" t="n"/>
      <c r="AJ384" s="686" t="n"/>
      <c r="AK384" s="687" t="n"/>
      <c r="AL384" s="687" t="n"/>
      <c r="AM384" s="687" t="n"/>
      <c r="AN384" s="688" t="n"/>
      <c r="AO384" s="686" t="n"/>
      <c r="AP384" s="689" t="n"/>
      <c r="AQ384" s="689" t="n"/>
      <c r="AR384" s="689" t="n"/>
      <c r="AS384" s="690" t="n"/>
      <c r="AT384" s="691">
        <f>IF(AJ384&lt;&gt;"",(IF(AV384="到貨","",(AJ384-TODAY()))),"")</f>
        <v/>
      </c>
      <c r="AU384" s="692">
        <f>IF(AO384&lt;&gt;"",(AO384-AE384),"")</f>
        <v/>
      </c>
      <c r="AV384" s="86">
        <f>IF(AI384&lt;&gt;"",IF(AS384&lt;&gt;"","到貨","5次發包中"),IF(AH384&lt;&gt;"",IF(AR384&lt;&gt;"","到貨","4次發包中"),IF(AG384&lt;&gt;"",IF(AQ384&lt;&gt;"","到貨","3次發包中"),IF(AF384&lt;&gt;"",IF(AP384&lt;&gt;"","到貨","2次發包中"),IF(AE384&lt;&gt;"",IF(AO384&lt;&gt;"","到貨","發包中"),"")))))</f>
        <v/>
      </c>
      <c r="AW384" s="86">
        <f>IF(OR($AW$6=Y384),$AW$6,"")</f>
        <v/>
      </c>
      <c r="AX384" s="87">
        <f t="array" ref="AX384">IF(OR(AV384:AW384={"到貨","庫存"}),"完成","")</f>
        <v/>
      </c>
      <c r="AY384" s="92">
        <f>E384*$M$1</f>
        <v/>
      </c>
    </row>
    <row r="385" outlineLevel="1" ht="14.25" customHeight="1">
      <c r="A385" s="67" t="n">
        <v>301</v>
      </c>
      <c r="B385" s="526" t="n"/>
      <c r="C385" s="393" t="n"/>
      <c r="D385" s="427" t="n"/>
      <c r="E385" s="526" t="n"/>
      <c r="F385" s="526" t="n"/>
      <c r="G385" s="527" t="n"/>
      <c r="H385" s="393" t="n"/>
      <c r="I385" s="528" t="n"/>
      <c r="J385" s="528" t="n"/>
      <c r="K385" s="528" t="n"/>
      <c r="L385" s="529" t="n"/>
      <c r="M385" s="529" t="n"/>
      <c r="N385" s="530" t="n"/>
      <c r="O385" s="531" t="n"/>
      <c r="P385" s="527" t="n"/>
      <c r="Q385" s="528" t="n"/>
      <c r="R385" s="528" t="n"/>
      <c r="S385" s="528" t="n"/>
      <c r="T385" s="543" t="n"/>
      <c r="U385" s="534" t="n"/>
      <c r="V385" s="516" t="n"/>
      <c r="W385" s="535" t="n"/>
      <c r="X385" s="536" t="n"/>
      <c r="Y385" s="519" t="n"/>
      <c r="Z385" s="683" t="n"/>
      <c r="AA385" s="684" t="n"/>
      <c r="AB385" s="684" t="n"/>
      <c r="AC385" s="684" t="n"/>
      <c r="AD385" s="685" t="n"/>
      <c r="AE385" s="686" t="n"/>
      <c r="AF385" s="684" t="n"/>
      <c r="AG385" s="687" t="n"/>
      <c r="AH385" s="687" t="n"/>
      <c r="AI385" s="684" t="n"/>
      <c r="AJ385" s="686" t="n"/>
      <c r="AK385" s="687" t="n"/>
      <c r="AL385" s="687" t="n"/>
      <c r="AM385" s="687" t="n"/>
      <c r="AN385" s="688" t="n"/>
      <c r="AO385" s="686" t="n"/>
      <c r="AP385" s="689" t="n"/>
      <c r="AQ385" s="689" t="n"/>
      <c r="AR385" s="689" t="n"/>
      <c r="AS385" s="690" t="n"/>
      <c r="AT385" s="691">
        <f>IF(AJ385&lt;&gt;"",(IF(AV385="到貨","",(AJ385-TODAY()))),"")</f>
        <v/>
      </c>
      <c r="AU385" s="692">
        <f>IF(AO385&lt;&gt;"",(AO385-AE385),"")</f>
        <v/>
      </c>
      <c r="AV385" s="86">
        <f>IF(AI385&lt;&gt;"",IF(AS385&lt;&gt;"","到貨","5次發包中"),IF(AH385&lt;&gt;"",IF(AR385&lt;&gt;"","到貨","4次發包中"),IF(AG385&lt;&gt;"",IF(AQ385&lt;&gt;"","到貨","3次發包中"),IF(AF385&lt;&gt;"",IF(AP385&lt;&gt;"","到貨","2次發包中"),IF(AE385&lt;&gt;"",IF(AO385&lt;&gt;"","到貨","發包中"),"")))))</f>
        <v/>
      </c>
      <c r="AW385" s="86">
        <f>IF(OR($AW$6=Y385),$AW$6,"")</f>
        <v/>
      </c>
      <c r="AX385" s="87">
        <f t="array" ref="AX385">IF(OR(AV385:AW385={"到貨","庫存"}),"完成","")</f>
        <v/>
      </c>
      <c r="AY385" s="92">
        <f>E385*$M$1</f>
        <v/>
      </c>
    </row>
    <row r="386" outlineLevel="1" ht="14.25" customHeight="1">
      <c r="A386" s="67" t="n">
        <v>301</v>
      </c>
      <c r="B386" s="526" t="n"/>
      <c r="C386" s="393" t="n"/>
      <c r="D386" s="427" t="n"/>
      <c r="E386" s="526" t="n"/>
      <c r="F386" s="526" t="n"/>
      <c r="G386" s="527" t="n"/>
      <c r="H386" s="393" t="n"/>
      <c r="I386" s="528" t="n"/>
      <c r="J386" s="528" t="n"/>
      <c r="K386" s="528" t="n"/>
      <c r="L386" s="529" t="n"/>
      <c r="M386" s="529" t="n"/>
      <c r="N386" s="530" t="n"/>
      <c r="O386" s="531" t="n"/>
      <c r="P386" s="527" t="n"/>
      <c r="Q386" s="528" t="n"/>
      <c r="R386" s="528" t="n"/>
      <c r="S386" s="528" t="n"/>
      <c r="T386" s="543" t="n"/>
      <c r="U386" s="534" t="n"/>
      <c r="V386" s="516" t="n"/>
      <c r="W386" s="535" t="n"/>
      <c r="X386" s="536" t="n"/>
      <c r="Y386" s="519" t="n"/>
      <c r="Z386" s="683" t="n"/>
      <c r="AA386" s="684" t="n"/>
      <c r="AB386" s="684" t="n"/>
      <c r="AC386" s="684" t="n"/>
      <c r="AD386" s="685" t="n"/>
      <c r="AE386" s="686" t="n"/>
      <c r="AF386" s="684" t="n"/>
      <c r="AG386" s="687" t="n"/>
      <c r="AH386" s="687" t="n"/>
      <c r="AI386" s="684" t="n"/>
      <c r="AJ386" s="686" t="n"/>
      <c r="AK386" s="687" t="n"/>
      <c r="AL386" s="687" t="n"/>
      <c r="AM386" s="687" t="n"/>
      <c r="AN386" s="688" t="n"/>
      <c r="AO386" s="686" t="n"/>
      <c r="AP386" s="689" t="n"/>
      <c r="AQ386" s="689" t="n"/>
      <c r="AR386" s="689" t="n"/>
      <c r="AS386" s="690" t="n"/>
      <c r="AT386" s="691">
        <f>IF(AJ386&lt;&gt;"",(IF(AV386="到貨","",(AJ386-TODAY()))),"")</f>
        <v/>
      </c>
      <c r="AU386" s="692">
        <f>IF(AO386&lt;&gt;"",(AO386-AE386),"")</f>
        <v/>
      </c>
      <c r="AV386" s="86">
        <f>IF(AI386&lt;&gt;"",IF(AS386&lt;&gt;"","到貨","5次發包中"),IF(AH386&lt;&gt;"",IF(AR386&lt;&gt;"","到貨","4次發包中"),IF(AG386&lt;&gt;"",IF(AQ386&lt;&gt;"","到貨","3次發包中"),IF(AF386&lt;&gt;"",IF(AP386&lt;&gt;"","到貨","2次發包中"),IF(AE386&lt;&gt;"",IF(AO386&lt;&gt;"","到貨","發包中"),"")))))</f>
        <v/>
      </c>
      <c r="AW386" s="86">
        <f>IF(OR($AW$6=Y386),$AW$6,"")</f>
        <v/>
      </c>
      <c r="AX386" s="87">
        <f t="array" ref="AX386">IF(OR(AV386:AW386={"到貨","庫存"}),"完成","")</f>
        <v/>
      </c>
      <c r="AY386" s="92">
        <f>E386*$M$1</f>
        <v/>
      </c>
    </row>
    <row r="387" outlineLevel="1" ht="14.25" customHeight="1">
      <c r="A387" s="67" t="n">
        <v>301</v>
      </c>
      <c r="B387" s="526" t="n"/>
      <c r="C387" s="393" t="n"/>
      <c r="D387" s="427" t="n"/>
      <c r="E387" s="526" t="n"/>
      <c r="F387" s="526" t="n"/>
      <c r="G387" s="527" t="n"/>
      <c r="H387" s="393" t="n"/>
      <c r="I387" s="528" t="n"/>
      <c r="J387" s="528" t="n"/>
      <c r="K387" s="528" t="n"/>
      <c r="L387" s="529" t="n"/>
      <c r="M387" s="529" t="n"/>
      <c r="N387" s="530" t="n"/>
      <c r="O387" s="531" t="n"/>
      <c r="P387" s="527" t="n"/>
      <c r="Q387" s="528" t="n"/>
      <c r="R387" s="528" t="n"/>
      <c r="S387" s="528" t="n"/>
      <c r="T387" s="543" t="n"/>
      <c r="U387" s="534" t="n"/>
      <c r="V387" s="516" t="n"/>
      <c r="W387" s="535" t="n"/>
      <c r="X387" s="536" t="n"/>
      <c r="Y387" s="519" t="n"/>
      <c r="Z387" s="683" t="n"/>
      <c r="AA387" s="684" t="n"/>
      <c r="AB387" s="684" t="n"/>
      <c r="AC387" s="684" t="n"/>
      <c r="AD387" s="685" t="n"/>
      <c r="AE387" s="686" t="n"/>
      <c r="AF387" s="684" t="n"/>
      <c r="AG387" s="687" t="n"/>
      <c r="AH387" s="687" t="n"/>
      <c r="AI387" s="684" t="n"/>
      <c r="AJ387" s="686" t="n"/>
      <c r="AK387" s="687" t="n"/>
      <c r="AL387" s="687" t="n"/>
      <c r="AM387" s="687" t="n"/>
      <c r="AN387" s="688" t="n"/>
      <c r="AO387" s="686" t="n"/>
      <c r="AP387" s="689" t="n"/>
      <c r="AQ387" s="689" t="n"/>
      <c r="AR387" s="689" t="n"/>
      <c r="AS387" s="690" t="n"/>
      <c r="AT387" s="691">
        <f>IF(AJ387&lt;&gt;"",(IF(AV387="到貨","",(AJ387-TODAY()))),"")</f>
        <v/>
      </c>
      <c r="AU387" s="692">
        <f>IF(AO387&lt;&gt;"",(AO387-AE387),"")</f>
        <v/>
      </c>
      <c r="AV387" s="86">
        <f>IF(AI387&lt;&gt;"",IF(AS387&lt;&gt;"","到貨","5次發包中"),IF(AH387&lt;&gt;"",IF(AR387&lt;&gt;"","到貨","4次發包中"),IF(AG387&lt;&gt;"",IF(AQ387&lt;&gt;"","到貨","3次發包中"),IF(AF387&lt;&gt;"",IF(AP387&lt;&gt;"","到貨","2次發包中"),IF(AE387&lt;&gt;"",IF(AO387&lt;&gt;"","到貨","發包中"),"")))))</f>
        <v/>
      </c>
      <c r="AW387" s="86">
        <f>IF(OR($AW$6=Y387),$AW$6,"")</f>
        <v/>
      </c>
      <c r="AX387" s="87">
        <f t="array" ref="AX387">IF(OR(AV387:AW387={"到貨","庫存"}),"完成","")</f>
        <v/>
      </c>
      <c r="AY387" s="92">
        <f>E387*$M$1</f>
        <v/>
      </c>
    </row>
    <row r="388" outlineLevel="1" ht="14.25" customHeight="1">
      <c r="A388" s="67" t="n">
        <v>301</v>
      </c>
      <c r="B388" s="526" t="n"/>
      <c r="C388" s="393" t="n"/>
      <c r="D388" s="427" t="n"/>
      <c r="E388" s="526" t="n"/>
      <c r="F388" s="526" t="n"/>
      <c r="G388" s="527" t="n"/>
      <c r="H388" s="393" t="n"/>
      <c r="I388" s="528" t="n"/>
      <c r="J388" s="528" t="n"/>
      <c r="K388" s="528" t="n"/>
      <c r="L388" s="529" t="n"/>
      <c r="M388" s="529" t="n"/>
      <c r="N388" s="530" t="n"/>
      <c r="O388" s="531" t="n"/>
      <c r="P388" s="527" t="n"/>
      <c r="Q388" s="528" t="n"/>
      <c r="R388" s="528" t="n"/>
      <c r="S388" s="528" t="n"/>
      <c r="T388" s="543" t="n"/>
      <c r="U388" s="534" t="n"/>
      <c r="V388" s="516" t="n"/>
      <c r="W388" s="535" t="n"/>
      <c r="X388" s="536" t="n"/>
      <c r="Y388" s="519" t="n"/>
      <c r="Z388" s="683" t="n"/>
      <c r="AA388" s="684" t="n"/>
      <c r="AB388" s="684" t="n"/>
      <c r="AC388" s="684" t="n"/>
      <c r="AD388" s="685" t="n"/>
      <c r="AE388" s="686" t="n"/>
      <c r="AF388" s="684" t="n"/>
      <c r="AG388" s="687" t="n"/>
      <c r="AH388" s="687" t="n"/>
      <c r="AI388" s="684" t="n"/>
      <c r="AJ388" s="686" t="n"/>
      <c r="AK388" s="687" t="n"/>
      <c r="AL388" s="687" t="n"/>
      <c r="AM388" s="687" t="n"/>
      <c r="AN388" s="688" t="n"/>
      <c r="AO388" s="686" t="n"/>
      <c r="AP388" s="689" t="n"/>
      <c r="AQ388" s="689" t="n"/>
      <c r="AR388" s="689" t="n"/>
      <c r="AS388" s="690" t="n"/>
      <c r="AT388" s="691">
        <f>IF(AJ388&lt;&gt;"",(IF(AV388="到貨","",(AJ388-TODAY()))),"")</f>
        <v/>
      </c>
      <c r="AU388" s="692">
        <f>IF(AO388&lt;&gt;"",(AO388-AE388),"")</f>
        <v/>
      </c>
      <c r="AV388" s="86">
        <f>IF(AI388&lt;&gt;"",IF(AS388&lt;&gt;"","到貨","5次發包中"),IF(AH388&lt;&gt;"",IF(AR388&lt;&gt;"","到貨","4次發包中"),IF(AG388&lt;&gt;"",IF(AQ388&lt;&gt;"","到貨","3次發包中"),IF(AF388&lt;&gt;"",IF(AP388&lt;&gt;"","到貨","2次發包中"),IF(AE388&lt;&gt;"",IF(AO388&lt;&gt;"","到貨","發包中"),"")))))</f>
        <v/>
      </c>
      <c r="AW388" s="86">
        <f>IF(OR($AW$6=Y388),$AW$6,"")</f>
        <v/>
      </c>
      <c r="AX388" s="87">
        <f t="array" ref="AX388">IF(OR(AV388:AW388={"到貨","庫存"}),"完成","")</f>
        <v/>
      </c>
      <c r="AY388" s="92">
        <f>E388*$M$1</f>
        <v/>
      </c>
    </row>
    <row r="389" outlineLevel="1" ht="14.25" customHeight="1">
      <c r="A389" s="67" t="n">
        <v>301</v>
      </c>
      <c r="B389" s="526" t="n"/>
      <c r="C389" s="393" t="n"/>
      <c r="D389" s="427" t="n"/>
      <c r="E389" s="526" t="n"/>
      <c r="F389" s="526" t="n"/>
      <c r="G389" s="527" t="n"/>
      <c r="H389" s="393" t="n"/>
      <c r="I389" s="528" t="n"/>
      <c r="J389" s="528" t="n"/>
      <c r="K389" s="528" t="n"/>
      <c r="L389" s="529" t="n"/>
      <c r="M389" s="529" t="n"/>
      <c r="N389" s="530" t="n"/>
      <c r="O389" s="531" t="n"/>
      <c r="P389" s="527" t="n"/>
      <c r="Q389" s="528" t="n"/>
      <c r="R389" s="528" t="n"/>
      <c r="S389" s="528" t="n"/>
      <c r="T389" s="543" t="n"/>
      <c r="U389" s="534" t="n"/>
      <c r="V389" s="516" t="n"/>
      <c r="W389" s="535" t="n"/>
      <c r="X389" s="536" t="n"/>
      <c r="Y389" s="519" t="n"/>
      <c r="Z389" s="683" t="n"/>
      <c r="AA389" s="684" t="n"/>
      <c r="AB389" s="684" t="n"/>
      <c r="AC389" s="684" t="n"/>
      <c r="AD389" s="685" t="n"/>
      <c r="AE389" s="686" t="n"/>
      <c r="AF389" s="684" t="n"/>
      <c r="AG389" s="687" t="n"/>
      <c r="AH389" s="687" t="n"/>
      <c r="AI389" s="684" t="n"/>
      <c r="AJ389" s="686" t="n"/>
      <c r="AK389" s="687" t="n"/>
      <c r="AL389" s="687" t="n"/>
      <c r="AM389" s="687" t="n"/>
      <c r="AN389" s="688" t="n"/>
      <c r="AO389" s="686" t="n"/>
      <c r="AP389" s="689" t="n"/>
      <c r="AQ389" s="689" t="n"/>
      <c r="AR389" s="689" t="n"/>
      <c r="AS389" s="690" t="n"/>
      <c r="AT389" s="691">
        <f>IF(AJ389&lt;&gt;"",(IF(AV389="到貨","",(AJ389-TODAY()))),"")</f>
        <v/>
      </c>
      <c r="AU389" s="692">
        <f>IF(AO389&lt;&gt;"",(AO389-AE389),"")</f>
        <v/>
      </c>
      <c r="AV389" s="86">
        <f>IF(AI389&lt;&gt;"",IF(AS389&lt;&gt;"","到貨","5次發包中"),IF(AH389&lt;&gt;"",IF(AR389&lt;&gt;"","到貨","4次發包中"),IF(AG389&lt;&gt;"",IF(AQ389&lt;&gt;"","到貨","3次發包中"),IF(AF389&lt;&gt;"",IF(AP389&lt;&gt;"","到貨","2次發包中"),IF(AE389&lt;&gt;"",IF(AO389&lt;&gt;"","到貨","發包中"),"")))))</f>
        <v/>
      </c>
      <c r="AW389" s="86">
        <f>IF(OR($AW$6=Y389),$AW$6,"")</f>
        <v/>
      </c>
      <c r="AX389" s="87">
        <f t="array" ref="AX389">IF(OR(AV389:AW389={"到貨","庫存"}),"完成","")</f>
        <v/>
      </c>
      <c r="AY389" s="92">
        <f>E389*$M$1</f>
        <v/>
      </c>
    </row>
    <row r="390" outlineLevel="1" ht="14.25" customHeight="1">
      <c r="A390" s="67" t="n">
        <v>301</v>
      </c>
      <c r="B390" s="526" t="n"/>
      <c r="C390" s="393" t="n"/>
      <c r="D390" s="427" t="n"/>
      <c r="E390" s="526" t="n"/>
      <c r="F390" s="526" t="n"/>
      <c r="G390" s="527" t="n"/>
      <c r="H390" s="393" t="n"/>
      <c r="I390" s="528" t="n"/>
      <c r="J390" s="528" t="n"/>
      <c r="K390" s="528" t="n"/>
      <c r="L390" s="529" t="n"/>
      <c r="M390" s="529" t="n"/>
      <c r="N390" s="530" t="n"/>
      <c r="O390" s="531" t="n"/>
      <c r="P390" s="527" t="n"/>
      <c r="Q390" s="528" t="n"/>
      <c r="R390" s="528" t="n"/>
      <c r="S390" s="528" t="n"/>
      <c r="T390" s="543" t="n"/>
      <c r="U390" s="534" t="n"/>
      <c r="V390" s="516" t="n"/>
      <c r="W390" s="535" t="n"/>
      <c r="X390" s="536" t="n"/>
      <c r="Y390" s="519" t="n"/>
      <c r="Z390" s="683" t="n"/>
      <c r="AA390" s="684" t="n"/>
      <c r="AB390" s="684" t="n"/>
      <c r="AC390" s="684" t="n"/>
      <c r="AD390" s="685" t="n"/>
      <c r="AE390" s="686" t="n"/>
      <c r="AF390" s="684" t="n"/>
      <c r="AG390" s="687" t="n"/>
      <c r="AH390" s="687" t="n"/>
      <c r="AI390" s="684" t="n"/>
      <c r="AJ390" s="686" t="n"/>
      <c r="AK390" s="687" t="n"/>
      <c r="AL390" s="687" t="n"/>
      <c r="AM390" s="687" t="n"/>
      <c r="AN390" s="688" t="n"/>
      <c r="AO390" s="686" t="n"/>
      <c r="AP390" s="689" t="n"/>
      <c r="AQ390" s="689" t="n"/>
      <c r="AR390" s="689" t="n"/>
      <c r="AS390" s="690" t="n"/>
      <c r="AT390" s="691">
        <f>IF(AJ390&lt;&gt;"",(IF(AV390="到貨","",(AJ390-TODAY()))),"")</f>
        <v/>
      </c>
      <c r="AU390" s="692">
        <f>IF(AO390&lt;&gt;"",(AO390-AE390),"")</f>
        <v/>
      </c>
      <c r="AV390" s="86">
        <f>IF(AI390&lt;&gt;"",IF(AS390&lt;&gt;"","到貨","5次發包中"),IF(AH390&lt;&gt;"",IF(AR390&lt;&gt;"","到貨","4次發包中"),IF(AG390&lt;&gt;"",IF(AQ390&lt;&gt;"","到貨","3次發包中"),IF(AF390&lt;&gt;"",IF(AP390&lt;&gt;"","到貨","2次發包中"),IF(AE390&lt;&gt;"",IF(AO390&lt;&gt;"","到貨","發包中"),"")))))</f>
        <v/>
      </c>
      <c r="AW390" s="86">
        <f>IF(OR($AW$6=Y390),$AW$6,"")</f>
        <v/>
      </c>
      <c r="AX390" s="87">
        <f t="array" ref="AX390">IF(OR(AV390:AW390={"到貨","庫存"}),"完成","")</f>
        <v/>
      </c>
      <c r="AY390" s="92">
        <f>E390*$M$1</f>
        <v/>
      </c>
    </row>
    <row r="391" outlineLevel="1" ht="14.25" customHeight="1">
      <c r="A391" s="67" t="n">
        <v>301</v>
      </c>
      <c r="B391" s="526" t="n"/>
      <c r="C391" s="393" t="n"/>
      <c r="D391" s="427" t="n"/>
      <c r="E391" s="526" t="n"/>
      <c r="F391" s="526" t="n"/>
      <c r="G391" s="527" t="n"/>
      <c r="H391" s="393" t="n"/>
      <c r="I391" s="528" t="n"/>
      <c r="J391" s="528" t="n"/>
      <c r="K391" s="528" t="n"/>
      <c r="L391" s="529" t="n"/>
      <c r="M391" s="529" t="n"/>
      <c r="N391" s="530" t="n"/>
      <c r="O391" s="531" t="n"/>
      <c r="P391" s="527" t="n"/>
      <c r="Q391" s="528" t="n"/>
      <c r="R391" s="528" t="n"/>
      <c r="S391" s="528" t="n"/>
      <c r="T391" s="543" t="n"/>
      <c r="U391" s="534" t="n"/>
      <c r="V391" s="516" t="n"/>
      <c r="W391" s="535" t="n"/>
      <c r="X391" s="536" t="n"/>
      <c r="Y391" s="519" t="n"/>
      <c r="Z391" s="683" t="n"/>
      <c r="AA391" s="684" t="n"/>
      <c r="AB391" s="684" t="n"/>
      <c r="AC391" s="684" t="n"/>
      <c r="AD391" s="685" t="n"/>
      <c r="AE391" s="686" t="n"/>
      <c r="AF391" s="684" t="n"/>
      <c r="AG391" s="687" t="n"/>
      <c r="AH391" s="687" t="n"/>
      <c r="AI391" s="684" t="n"/>
      <c r="AJ391" s="686" t="n"/>
      <c r="AK391" s="687" t="n"/>
      <c r="AL391" s="687" t="n"/>
      <c r="AM391" s="687" t="n"/>
      <c r="AN391" s="688" t="n"/>
      <c r="AO391" s="686" t="n"/>
      <c r="AP391" s="689" t="n"/>
      <c r="AQ391" s="689" t="n"/>
      <c r="AR391" s="689" t="n"/>
      <c r="AS391" s="690" t="n"/>
      <c r="AT391" s="691">
        <f>IF(AJ391&lt;&gt;"",(IF(AV391="到貨","",(AJ391-TODAY()))),"")</f>
        <v/>
      </c>
      <c r="AU391" s="692">
        <f>IF(AO391&lt;&gt;"",(AO391-AE391),"")</f>
        <v/>
      </c>
      <c r="AV391" s="86">
        <f>IF(AI391&lt;&gt;"",IF(AS391&lt;&gt;"","到貨","5次發包中"),IF(AH391&lt;&gt;"",IF(AR391&lt;&gt;"","到貨","4次發包中"),IF(AG391&lt;&gt;"",IF(AQ391&lt;&gt;"","到貨","3次發包中"),IF(AF391&lt;&gt;"",IF(AP391&lt;&gt;"","到貨","2次發包中"),IF(AE391&lt;&gt;"",IF(AO391&lt;&gt;"","到貨","發包中"),"")))))</f>
        <v/>
      </c>
      <c r="AW391" s="86">
        <f>IF(OR($AW$6=Y391),$AW$6,"")</f>
        <v/>
      </c>
      <c r="AX391" s="87">
        <f t="array" ref="AX391">IF(OR(AV391:AW391={"到貨","庫存"}),"完成","")</f>
        <v/>
      </c>
      <c r="AY391" s="92">
        <f>E391*$M$1</f>
        <v/>
      </c>
    </row>
    <row r="392" outlineLevel="1" ht="14.25" customHeight="1">
      <c r="A392" s="67" t="n">
        <v>301</v>
      </c>
      <c r="B392" s="526" t="n"/>
      <c r="C392" s="393" t="n"/>
      <c r="D392" s="427" t="n"/>
      <c r="E392" s="526" t="n"/>
      <c r="F392" s="526" t="n"/>
      <c r="G392" s="527" t="n"/>
      <c r="H392" s="393" t="n"/>
      <c r="I392" s="528" t="n"/>
      <c r="J392" s="528" t="n"/>
      <c r="K392" s="528" t="n"/>
      <c r="L392" s="529" t="n"/>
      <c r="M392" s="529" t="n"/>
      <c r="N392" s="530" t="n"/>
      <c r="O392" s="531" t="n"/>
      <c r="P392" s="527" t="n"/>
      <c r="Q392" s="528" t="n"/>
      <c r="R392" s="528" t="n"/>
      <c r="S392" s="528" t="n"/>
      <c r="T392" s="543" t="n"/>
      <c r="U392" s="534" t="n"/>
      <c r="V392" s="516" t="n"/>
      <c r="W392" s="535" t="n"/>
      <c r="X392" s="536" t="n"/>
      <c r="Y392" s="519" t="n"/>
      <c r="Z392" s="683" t="n"/>
      <c r="AA392" s="684" t="n"/>
      <c r="AB392" s="684" t="n"/>
      <c r="AC392" s="684" t="n"/>
      <c r="AD392" s="685" t="n"/>
      <c r="AE392" s="686" t="n"/>
      <c r="AF392" s="684" t="n"/>
      <c r="AG392" s="687" t="n"/>
      <c r="AH392" s="687" t="n"/>
      <c r="AI392" s="684" t="n"/>
      <c r="AJ392" s="686" t="n"/>
      <c r="AK392" s="687" t="n"/>
      <c r="AL392" s="687" t="n"/>
      <c r="AM392" s="687" t="n"/>
      <c r="AN392" s="688" t="n"/>
      <c r="AO392" s="686" t="n"/>
      <c r="AP392" s="689" t="n"/>
      <c r="AQ392" s="689" t="n"/>
      <c r="AR392" s="689" t="n"/>
      <c r="AS392" s="690" t="n"/>
      <c r="AT392" s="691">
        <f>IF(AJ392&lt;&gt;"",(IF(AV392="到貨","",(AJ392-TODAY()))),"")</f>
        <v/>
      </c>
      <c r="AU392" s="692">
        <f>IF(AO392&lt;&gt;"",(AO392-AE392),"")</f>
        <v/>
      </c>
      <c r="AV392" s="86">
        <f>IF(AI392&lt;&gt;"",IF(AS392&lt;&gt;"","到貨","5次發包中"),IF(AH392&lt;&gt;"",IF(AR392&lt;&gt;"","到貨","4次發包中"),IF(AG392&lt;&gt;"",IF(AQ392&lt;&gt;"","到貨","3次發包中"),IF(AF392&lt;&gt;"",IF(AP392&lt;&gt;"","到貨","2次發包中"),IF(AE392&lt;&gt;"",IF(AO392&lt;&gt;"","到貨","發包中"),"")))))</f>
        <v/>
      </c>
      <c r="AW392" s="86">
        <f>IF(OR($AW$6=Y392),$AW$6,"")</f>
        <v/>
      </c>
      <c r="AX392" s="87">
        <f t="array" ref="AX392">IF(OR(AV392:AW392={"到貨","庫存"}),"完成","")</f>
        <v/>
      </c>
      <c r="AY392" s="92">
        <f>E392*$M$1</f>
        <v/>
      </c>
    </row>
    <row r="393" outlineLevel="1" ht="14.25" customHeight="1">
      <c r="A393" s="67" t="n">
        <v>301</v>
      </c>
      <c r="B393" s="526" t="n"/>
      <c r="C393" s="393" t="n"/>
      <c r="D393" s="427" t="n"/>
      <c r="E393" s="526" t="n"/>
      <c r="F393" s="526" t="n"/>
      <c r="G393" s="527" t="n"/>
      <c r="H393" s="393" t="n"/>
      <c r="I393" s="528" t="n"/>
      <c r="J393" s="528" t="n"/>
      <c r="K393" s="528" t="n"/>
      <c r="L393" s="529" t="n"/>
      <c r="M393" s="529" t="n"/>
      <c r="N393" s="530" t="n"/>
      <c r="O393" s="531" t="n"/>
      <c r="P393" s="527" t="n"/>
      <c r="Q393" s="528" t="n"/>
      <c r="R393" s="528" t="n"/>
      <c r="S393" s="528" t="n"/>
      <c r="T393" s="543" t="n"/>
      <c r="U393" s="534" t="n"/>
      <c r="V393" s="516" t="n"/>
      <c r="W393" s="535" t="n"/>
      <c r="X393" s="536" t="n"/>
      <c r="Y393" s="519" t="n"/>
      <c r="Z393" s="683" t="n"/>
      <c r="AA393" s="684" t="n"/>
      <c r="AB393" s="684" t="n"/>
      <c r="AC393" s="684" t="n"/>
      <c r="AD393" s="685" t="n"/>
      <c r="AE393" s="686" t="n"/>
      <c r="AF393" s="684" t="n"/>
      <c r="AG393" s="687" t="n"/>
      <c r="AH393" s="687" t="n"/>
      <c r="AI393" s="684" t="n"/>
      <c r="AJ393" s="686" t="n"/>
      <c r="AK393" s="687" t="n"/>
      <c r="AL393" s="687" t="n"/>
      <c r="AM393" s="687" t="n"/>
      <c r="AN393" s="688" t="n"/>
      <c r="AO393" s="686" t="n"/>
      <c r="AP393" s="689" t="n"/>
      <c r="AQ393" s="689" t="n"/>
      <c r="AR393" s="689" t="n"/>
      <c r="AS393" s="690" t="n"/>
      <c r="AT393" s="691">
        <f>IF(AJ393&lt;&gt;"",(IF(AV393="到貨","",(AJ393-TODAY()))),"")</f>
        <v/>
      </c>
      <c r="AU393" s="692">
        <f>IF(AO393&lt;&gt;"",(AO393-AE393),"")</f>
        <v/>
      </c>
      <c r="AV393" s="86">
        <f>IF(AI393&lt;&gt;"",IF(AS393&lt;&gt;"","到貨","5次發包中"),IF(AH393&lt;&gt;"",IF(AR393&lt;&gt;"","到貨","4次發包中"),IF(AG393&lt;&gt;"",IF(AQ393&lt;&gt;"","到貨","3次發包中"),IF(AF393&lt;&gt;"",IF(AP393&lt;&gt;"","到貨","2次發包中"),IF(AE393&lt;&gt;"",IF(AO393&lt;&gt;"","到貨","發包中"),"")))))</f>
        <v/>
      </c>
      <c r="AW393" s="86">
        <f>IF(OR($AW$6=Y393),$AW$6,"")</f>
        <v/>
      </c>
      <c r="AX393" s="87">
        <f t="array" ref="AX393">IF(OR(AV393:AW393={"到貨","庫存"}),"完成","")</f>
        <v/>
      </c>
      <c r="AY393" s="92">
        <f>E393*$M$1</f>
        <v/>
      </c>
    </row>
    <row r="394" outlineLevel="1" ht="14.25" customHeight="1">
      <c r="A394" s="67" t="n">
        <v>301</v>
      </c>
      <c r="B394" s="526" t="n"/>
      <c r="C394" s="393" t="n"/>
      <c r="D394" s="427" t="n"/>
      <c r="E394" s="526" t="n"/>
      <c r="F394" s="526" t="n"/>
      <c r="G394" s="527" t="n"/>
      <c r="H394" s="393" t="n"/>
      <c r="I394" s="528" t="n"/>
      <c r="J394" s="528" t="n"/>
      <c r="K394" s="528" t="n"/>
      <c r="L394" s="529" t="n"/>
      <c r="M394" s="529" t="n"/>
      <c r="N394" s="530" t="n"/>
      <c r="O394" s="531" t="n"/>
      <c r="P394" s="527" t="n"/>
      <c r="Q394" s="528" t="n"/>
      <c r="R394" s="528" t="n"/>
      <c r="S394" s="528" t="n"/>
      <c r="T394" s="543" t="n"/>
      <c r="U394" s="534" t="n"/>
      <c r="V394" s="516" t="n"/>
      <c r="W394" s="535" t="n"/>
      <c r="X394" s="536" t="n"/>
      <c r="Y394" s="519" t="n"/>
      <c r="Z394" s="683" t="n"/>
      <c r="AA394" s="684" t="n"/>
      <c r="AB394" s="684" t="n"/>
      <c r="AC394" s="684" t="n"/>
      <c r="AD394" s="685" t="n"/>
      <c r="AE394" s="686" t="n"/>
      <c r="AF394" s="684" t="n"/>
      <c r="AG394" s="687" t="n"/>
      <c r="AH394" s="687" t="n"/>
      <c r="AI394" s="684" t="n"/>
      <c r="AJ394" s="686" t="n"/>
      <c r="AK394" s="687" t="n"/>
      <c r="AL394" s="687" t="n"/>
      <c r="AM394" s="687" t="n"/>
      <c r="AN394" s="688" t="n"/>
      <c r="AO394" s="686" t="n"/>
      <c r="AP394" s="689" t="n"/>
      <c r="AQ394" s="689" t="n"/>
      <c r="AR394" s="689" t="n"/>
      <c r="AS394" s="690" t="n"/>
      <c r="AT394" s="691">
        <f>IF(AJ394&lt;&gt;"",(IF(AV394="到貨","",(AJ394-TODAY()))),"")</f>
        <v/>
      </c>
      <c r="AU394" s="692">
        <f>IF(AO394&lt;&gt;"",(AO394-AE394),"")</f>
        <v/>
      </c>
      <c r="AV394" s="86">
        <f>IF(AI394&lt;&gt;"",IF(AS394&lt;&gt;"","到貨","5次發包中"),IF(AH394&lt;&gt;"",IF(AR394&lt;&gt;"","到貨","4次發包中"),IF(AG394&lt;&gt;"",IF(AQ394&lt;&gt;"","到貨","3次發包中"),IF(AF394&lt;&gt;"",IF(AP394&lt;&gt;"","到貨","2次發包中"),IF(AE394&lt;&gt;"",IF(AO394&lt;&gt;"","到貨","發包中"),"")))))</f>
        <v/>
      </c>
      <c r="AW394" s="86">
        <f>IF(OR($AW$6=Y394),$AW$6,"")</f>
        <v/>
      </c>
      <c r="AX394" s="87">
        <f t="array" ref="AX394">IF(OR(AV394:AW394={"到貨","庫存"}),"完成","")</f>
        <v/>
      </c>
      <c r="AY394" s="92">
        <f>E394*$M$1</f>
        <v/>
      </c>
    </row>
    <row r="395" outlineLevel="1" ht="14.25" customHeight="1">
      <c r="A395" s="67" t="n">
        <v>301</v>
      </c>
      <c r="B395" s="526" t="n"/>
      <c r="C395" s="393" t="n"/>
      <c r="D395" s="427" t="n"/>
      <c r="E395" s="526" t="n"/>
      <c r="F395" s="526" t="n"/>
      <c r="G395" s="527" t="n"/>
      <c r="H395" s="393" t="n"/>
      <c r="I395" s="528" t="n"/>
      <c r="J395" s="528" t="n"/>
      <c r="K395" s="528" t="n"/>
      <c r="L395" s="529" t="n"/>
      <c r="M395" s="529" t="n"/>
      <c r="N395" s="530" t="n"/>
      <c r="O395" s="531" t="n"/>
      <c r="P395" s="527" t="n"/>
      <c r="Q395" s="528" t="n"/>
      <c r="R395" s="528" t="n"/>
      <c r="S395" s="528" t="n"/>
      <c r="T395" s="543" t="n"/>
      <c r="U395" s="534" t="n"/>
      <c r="V395" s="516" t="n"/>
      <c r="W395" s="535" t="n"/>
      <c r="X395" s="536" t="n"/>
      <c r="Y395" s="519" t="n"/>
      <c r="Z395" s="683" t="n"/>
      <c r="AA395" s="684" t="n"/>
      <c r="AB395" s="684" t="n"/>
      <c r="AC395" s="684" t="n"/>
      <c r="AD395" s="685" t="n"/>
      <c r="AE395" s="686" t="n"/>
      <c r="AF395" s="684" t="n"/>
      <c r="AG395" s="687" t="n"/>
      <c r="AH395" s="687" t="n"/>
      <c r="AI395" s="684" t="n"/>
      <c r="AJ395" s="686" t="n"/>
      <c r="AK395" s="687" t="n"/>
      <c r="AL395" s="687" t="n"/>
      <c r="AM395" s="687" t="n"/>
      <c r="AN395" s="688" t="n"/>
      <c r="AO395" s="686" t="n"/>
      <c r="AP395" s="689" t="n"/>
      <c r="AQ395" s="689" t="n"/>
      <c r="AR395" s="689" t="n"/>
      <c r="AS395" s="690" t="n"/>
      <c r="AT395" s="691">
        <f>IF(AJ395&lt;&gt;"",(IF(AV395="到貨","",(AJ395-TODAY()))),"")</f>
        <v/>
      </c>
      <c r="AU395" s="692">
        <f>IF(AO395&lt;&gt;"",(AO395-AE395),"")</f>
        <v/>
      </c>
      <c r="AV395" s="86">
        <f>IF(AI395&lt;&gt;"",IF(AS395&lt;&gt;"","到貨","5次發包中"),IF(AH395&lt;&gt;"",IF(AR395&lt;&gt;"","到貨","4次發包中"),IF(AG395&lt;&gt;"",IF(AQ395&lt;&gt;"","到貨","3次發包中"),IF(AF395&lt;&gt;"",IF(AP395&lt;&gt;"","到貨","2次發包中"),IF(AE395&lt;&gt;"",IF(AO395&lt;&gt;"","到貨","發包中"),"")))))</f>
        <v/>
      </c>
      <c r="AW395" s="86">
        <f>IF(OR($AW$6=Y395),$AW$6,"")</f>
        <v/>
      </c>
      <c r="AX395" s="87">
        <f t="array" ref="AX395">IF(OR(AV395:AW395={"到貨","庫存"}),"完成","")</f>
        <v/>
      </c>
      <c r="AY395" s="92">
        <f>E395*$M$1</f>
        <v/>
      </c>
    </row>
    <row r="396" outlineLevel="1" ht="14.25" customHeight="1">
      <c r="A396" s="67" t="n">
        <v>301</v>
      </c>
      <c r="B396" s="526" t="n"/>
      <c r="C396" s="393" t="n"/>
      <c r="D396" s="427" t="n"/>
      <c r="E396" s="526" t="n"/>
      <c r="F396" s="526" t="n"/>
      <c r="G396" s="527" t="n"/>
      <c r="H396" s="393" t="n"/>
      <c r="I396" s="528" t="n"/>
      <c r="J396" s="528" t="n"/>
      <c r="K396" s="528" t="n"/>
      <c r="L396" s="529" t="n"/>
      <c r="M396" s="529" t="n"/>
      <c r="N396" s="530" t="n"/>
      <c r="O396" s="531" t="n"/>
      <c r="P396" s="527" t="n"/>
      <c r="Q396" s="528" t="n"/>
      <c r="R396" s="528" t="n"/>
      <c r="S396" s="528" t="n"/>
      <c r="T396" s="543" t="n"/>
      <c r="U396" s="534" t="n"/>
      <c r="V396" s="516" t="n"/>
      <c r="W396" s="535" t="n"/>
      <c r="X396" s="536" t="n"/>
      <c r="Y396" s="519" t="n"/>
      <c r="Z396" s="683" t="n"/>
      <c r="AA396" s="684" t="n"/>
      <c r="AB396" s="684" t="n"/>
      <c r="AC396" s="684" t="n"/>
      <c r="AD396" s="685" t="n"/>
      <c r="AE396" s="686" t="n"/>
      <c r="AF396" s="684" t="n"/>
      <c r="AG396" s="687" t="n"/>
      <c r="AH396" s="687" t="n"/>
      <c r="AI396" s="684" t="n"/>
      <c r="AJ396" s="686" t="n"/>
      <c r="AK396" s="687" t="n"/>
      <c r="AL396" s="687" t="n"/>
      <c r="AM396" s="687" t="n"/>
      <c r="AN396" s="688" t="n"/>
      <c r="AO396" s="686" t="n"/>
      <c r="AP396" s="689" t="n"/>
      <c r="AQ396" s="689" t="n"/>
      <c r="AR396" s="689" t="n"/>
      <c r="AS396" s="690" t="n"/>
      <c r="AT396" s="691">
        <f>IF(AJ396&lt;&gt;"",(IF(AV396="到貨","",(AJ396-TODAY()))),"")</f>
        <v/>
      </c>
      <c r="AU396" s="692">
        <f>IF(AO396&lt;&gt;"",(AO396-AE396),"")</f>
        <v/>
      </c>
      <c r="AV396" s="86">
        <f>IF(AI396&lt;&gt;"",IF(AS396&lt;&gt;"","到貨","5次發包中"),IF(AH396&lt;&gt;"",IF(AR396&lt;&gt;"","到貨","4次發包中"),IF(AG396&lt;&gt;"",IF(AQ396&lt;&gt;"","到貨","3次發包中"),IF(AF396&lt;&gt;"",IF(AP396&lt;&gt;"","到貨","2次發包中"),IF(AE396&lt;&gt;"",IF(AO396&lt;&gt;"","到貨","發包中"),"")))))</f>
        <v/>
      </c>
      <c r="AW396" s="86">
        <f>IF(OR($AW$6=Y396),$AW$6,"")</f>
        <v/>
      </c>
      <c r="AX396" s="87">
        <f t="array" ref="AX396">IF(OR(AV396:AW396={"到貨","庫存"}),"完成","")</f>
        <v/>
      </c>
      <c r="AY396" s="92">
        <f>E396*$M$1</f>
        <v/>
      </c>
    </row>
    <row r="397" outlineLevel="1" ht="14.25" customHeight="1">
      <c r="A397" s="67" t="n">
        <v>301</v>
      </c>
      <c r="B397" s="526" t="n"/>
      <c r="C397" s="393" t="n"/>
      <c r="D397" s="427" t="n"/>
      <c r="E397" s="526" t="n"/>
      <c r="F397" s="526" t="n"/>
      <c r="G397" s="527" t="n"/>
      <c r="H397" s="393" t="n"/>
      <c r="I397" s="528" t="n"/>
      <c r="J397" s="528" t="n"/>
      <c r="K397" s="528" t="n"/>
      <c r="L397" s="529" t="n"/>
      <c r="M397" s="529" t="n"/>
      <c r="N397" s="530" t="n"/>
      <c r="O397" s="531" t="n"/>
      <c r="P397" s="527" t="n"/>
      <c r="Q397" s="528" t="n"/>
      <c r="R397" s="528" t="n"/>
      <c r="S397" s="528" t="n"/>
      <c r="T397" s="543" t="n"/>
      <c r="U397" s="534" t="n"/>
      <c r="V397" s="516" t="n"/>
      <c r="W397" s="535" t="n"/>
      <c r="X397" s="536" t="n"/>
      <c r="Y397" s="519" t="n"/>
      <c r="Z397" s="683" t="n"/>
      <c r="AA397" s="684" t="n"/>
      <c r="AB397" s="684" t="n"/>
      <c r="AC397" s="684" t="n"/>
      <c r="AD397" s="685" t="n"/>
      <c r="AE397" s="686" t="n"/>
      <c r="AF397" s="684" t="n"/>
      <c r="AG397" s="687" t="n"/>
      <c r="AH397" s="687" t="n"/>
      <c r="AI397" s="684" t="n"/>
      <c r="AJ397" s="686" t="n"/>
      <c r="AK397" s="687" t="n"/>
      <c r="AL397" s="687" t="n"/>
      <c r="AM397" s="687" t="n"/>
      <c r="AN397" s="688" t="n"/>
      <c r="AO397" s="686" t="n"/>
      <c r="AP397" s="689" t="n"/>
      <c r="AQ397" s="689" t="n"/>
      <c r="AR397" s="689" t="n"/>
      <c r="AS397" s="690" t="n"/>
      <c r="AT397" s="691">
        <f>IF(AJ397&lt;&gt;"",(IF(AV397="到貨","",(AJ397-TODAY()))),"")</f>
        <v/>
      </c>
      <c r="AU397" s="692">
        <f>IF(AO397&lt;&gt;"",(AO397-AE397),"")</f>
        <v/>
      </c>
      <c r="AV397" s="86">
        <f>IF(AI397&lt;&gt;"",IF(AS397&lt;&gt;"","到貨","5次發包中"),IF(AH397&lt;&gt;"",IF(AR397&lt;&gt;"","到貨","4次發包中"),IF(AG397&lt;&gt;"",IF(AQ397&lt;&gt;"","到貨","3次發包中"),IF(AF397&lt;&gt;"",IF(AP397&lt;&gt;"","到貨","2次發包中"),IF(AE397&lt;&gt;"",IF(AO397&lt;&gt;"","到貨","發包中"),"")))))</f>
        <v/>
      </c>
      <c r="AW397" s="86">
        <f>IF(OR($AW$6=Y397),$AW$6,"")</f>
        <v/>
      </c>
      <c r="AX397" s="87">
        <f t="array" ref="AX397">IF(OR(AV397:AW397={"到貨","庫存"}),"完成","")</f>
        <v/>
      </c>
      <c r="AY397" s="92">
        <f>E397*$M$1</f>
        <v/>
      </c>
    </row>
    <row r="398" outlineLevel="1" ht="14.25" customHeight="1">
      <c r="A398" s="67" t="n">
        <v>301</v>
      </c>
      <c r="B398" s="526" t="n"/>
      <c r="C398" s="393" t="n"/>
      <c r="D398" s="427" t="n"/>
      <c r="E398" s="526" t="n"/>
      <c r="F398" s="526" t="n"/>
      <c r="G398" s="527" t="n"/>
      <c r="H398" s="393" t="n"/>
      <c r="I398" s="528" t="n"/>
      <c r="J398" s="528" t="n"/>
      <c r="K398" s="528" t="n"/>
      <c r="L398" s="529" t="n"/>
      <c r="M398" s="529" t="n"/>
      <c r="N398" s="530" t="n"/>
      <c r="O398" s="531" t="n"/>
      <c r="P398" s="527" t="n"/>
      <c r="Q398" s="528" t="n"/>
      <c r="R398" s="528" t="n"/>
      <c r="S398" s="528" t="n"/>
      <c r="T398" s="543" t="n"/>
      <c r="U398" s="534" t="n"/>
      <c r="V398" s="516" t="n"/>
      <c r="W398" s="535" t="n"/>
      <c r="X398" s="536" t="n"/>
      <c r="Y398" s="519" t="n"/>
      <c r="Z398" s="683" t="n"/>
      <c r="AA398" s="684" t="n"/>
      <c r="AB398" s="684" t="n"/>
      <c r="AC398" s="684" t="n"/>
      <c r="AD398" s="685" t="n"/>
      <c r="AE398" s="686" t="n"/>
      <c r="AF398" s="684" t="n"/>
      <c r="AG398" s="687" t="n"/>
      <c r="AH398" s="687" t="n"/>
      <c r="AI398" s="684" t="n"/>
      <c r="AJ398" s="686" t="n"/>
      <c r="AK398" s="687" t="n"/>
      <c r="AL398" s="687" t="n"/>
      <c r="AM398" s="687" t="n"/>
      <c r="AN398" s="688" t="n"/>
      <c r="AO398" s="686" t="n"/>
      <c r="AP398" s="689" t="n"/>
      <c r="AQ398" s="689" t="n"/>
      <c r="AR398" s="689" t="n"/>
      <c r="AS398" s="690" t="n"/>
      <c r="AT398" s="691">
        <f>IF(AJ398&lt;&gt;"",(IF(AV398="到貨","",(AJ398-TODAY()))),"")</f>
        <v/>
      </c>
      <c r="AU398" s="692">
        <f>IF(AO398&lt;&gt;"",(AO398-AE398),"")</f>
        <v/>
      </c>
      <c r="AV398" s="86">
        <f>IF(AI398&lt;&gt;"",IF(AS398&lt;&gt;"","到貨","5次發包中"),IF(AH398&lt;&gt;"",IF(AR398&lt;&gt;"","到貨","4次發包中"),IF(AG398&lt;&gt;"",IF(AQ398&lt;&gt;"","到貨","3次發包中"),IF(AF398&lt;&gt;"",IF(AP398&lt;&gt;"","到貨","2次發包中"),IF(AE398&lt;&gt;"",IF(AO398&lt;&gt;"","到貨","發包中"),"")))))</f>
        <v/>
      </c>
      <c r="AW398" s="86">
        <f>IF(OR($AW$6=Y398),$AW$6,"")</f>
        <v/>
      </c>
      <c r="AX398" s="87">
        <f t="array" ref="AX398">IF(OR(AV398:AW398={"到貨","庫存"}),"完成","")</f>
        <v/>
      </c>
      <c r="AY398" s="92">
        <f>E398*$M$1</f>
        <v/>
      </c>
    </row>
    <row r="399" outlineLevel="1" ht="14.25" customHeight="1">
      <c r="A399" s="67" t="n">
        <v>301</v>
      </c>
      <c r="B399" s="526" t="n"/>
      <c r="C399" s="393" t="n"/>
      <c r="D399" s="427" t="n"/>
      <c r="E399" s="526" t="n"/>
      <c r="F399" s="526" t="n"/>
      <c r="G399" s="527" t="n"/>
      <c r="H399" s="393" t="n"/>
      <c r="I399" s="528" t="n"/>
      <c r="J399" s="528" t="n"/>
      <c r="K399" s="528" t="n"/>
      <c r="L399" s="529" t="n"/>
      <c r="M399" s="529" t="n"/>
      <c r="N399" s="530" t="n"/>
      <c r="O399" s="531" t="n"/>
      <c r="P399" s="527" t="n"/>
      <c r="Q399" s="528" t="n"/>
      <c r="R399" s="528" t="n"/>
      <c r="S399" s="528" t="n"/>
      <c r="T399" s="543" t="n"/>
      <c r="U399" s="534" t="n"/>
      <c r="V399" s="516" t="n"/>
      <c r="W399" s="535" t="n"/>
      <c r="X399" s="536" t="n"/>
      <c r="Y399" s="519" t="n"/>
      <c r="Z399" s="683" t="n"/>
      <c r="AA399" s="684" t="n"/>
      <c r="AB399" s="684" t="n"/>
      <c r="AC399" s="684" t="n"/>
      <c r="AD399" s="685" t="n"/>
      <c r="AE399" s="686" t="n"/>
      <c r="AF399" s="684" t="n"/>
      <c r="AG399" s="687" t="n"/>
      <c r="AH399" s="687" t="n"/>
      <c r="AI399" s="684" t="n"/>
      <c r="AJ399" s="686" t="n"/>
      <c r="AK399" s="687" t="n"/>
      <c r="AL399" s="687" t="n"/>
      <c r="AM399" s="687" t="n"/>
      <c r="AN399" s="688" t="n"/>
      <c r="AO399" s="686" t="n"/>
      <c r="AP399" s="689" t="n"/>
      <c r="AQ399" s="689" t="n"/>
      <c r="AR399" s="689" t="n"/>
      <c r="AS399" s="690" t="n"/>
      <c r="AT399" s="691">
        <f>IF(AJ399&lt;&gt;"",(IF(AV399="到貨","",(AJ399-TODAY()))),"")</f>
        <v/>
      </c>
      <c r="AU399" s="692">
        <f>IF(AO399&lt;&gt;"",(AO399-AE399),"")</f>
        <v/>
      </c>
      <c r="AV399" s="86">
        <f>IF(AI399&lt;&gt;"",IF(AS399&lt;&gt;"","到貨","5次發包中"),IF(AH399&lt;&gt;"",IF(AR399&lt;&gt;"","到貨","4次發包中"),IF(AG399&lt;&gt;"",IF(AQ399&lt;&gt;"","到貨","3次發包中"),IF(AF399&lt;&gt;"",IF(AP399&lt;&gt;"","到貨","2次發包中"),IF(AE399&lt;&gt;"",IF(AO399&lt;&gt;"","到貨","發包中"),"")))))</f>
        <v/>
      </c>
      <c r="AW399" s="86">
        <f>IF(OR($AW$6=Y399),$AW$6,"")</f>
        <v/>
      </c>
      <c r="AX399" s="87">
        <f t="array" ref="AX399">IF(OR(AV399:AW399={"到貨","庫存"}),"完成","")</f>
        <v/>
      </c>
      <c r="AY399" s="92">
        <f>E399*$M$1</f>
        <v/>
      </c>
    </row>
    <row r="400" outlineLevel="1" ht="14.25" customHeight="1">
      <c r="A400" s="67" t="n">
        <v>301</v>
      </c>
      <c r="B400" s="526" t="n"/>
      <c r="C400" s="393" t="n"/>
      <c r="D400" s="427" t="n"/>
      <c r="E400" s="526" t="n"/>
      <c r="F400" s="526" t="n"/>
      <c r="G400" s="527" t="n"/>
      <c r="H400" s="393" t="n"/>
      <c r="I400" s="528" t="n"/>
      <c r="J400" s="528" t="n"/>
      <c r="K400" s="528" t="n"/>
      <c r="L400" s="529" t="n"/>
      <c r="M400" s="529" t="n"/>
      <c r="N400" s="530" t="n"/>
      <c r="O400" s="531" t="n"/>
      <c r="P400" s="527" t="n"/>
      <c r="Q400" s="528" t="n"/>
      <c r="R400" s="528" t="n"/>
      <c r="S400" s="528" t="n"/>
      <c r="T400" s="543" t="n"/>
      <c r="U400" s="534" t="n"/>
      <c r="V400" s="516" t="n"/>
      <c r="W400" s="535" t="n"/>
      <c r="X400" s="536" t="n"/>
      <c r="Y400" s="519" t="n"/>
      <c r="Z400" s="683" t="n"/>
      <c r="AA400" s="684" t="n"/>
      <c r="AB400" s="684" t="n"/>
      <c r="AC400" s="684" t="n"/>
      <c r="AD400" s="685" t="n"/>
      <c r="AE400" s="686" t="n"/>
      <c r="AF400" s="684" t="n"/>
      <c r="AG400" s="687" t="n"/>
      <c r="AH400" s="687" t="n"/>
      <c r="AI400" s="684" t="n"/>
      <c r="AJ400" s="686" t="n"/>
      <c r="AK400" s="687" t="n"/>
      <c r="AL400" s="687" t="n"/>
      <c r="AM400" s="687" t="n"/>
      <c r="AN400" s="688" t="n"/>
      <c r="AO400" s="686" t="n"/>
      <c r="AP400" s="689" t="n"/>
      <c r="AQ400" s="689" t="n"/>
      <c r="AR400" s="689" t="n"/>
      <c r="AS400" s="690" t="n"/>
      <c r="AT400" s="691">
        <f>IF(AJ400&lt;&gt;"",(IF(AV400="到貨","",(AJ400-TODAY()))),"")</f>
        <v/>
      </c>
      <c r="AU400" s="692">
        <f>IF(AO400&lt;&gt;"",(AO400-AE400),"")</f>
        <v/>
      </c>
      <c r="AV400" s="86">
        <f>IF(AI400&lt;&gt;"",IF(AS400&lt;&gt;"","到貨","5次發包中"),IF(AH400&lt;&gt;"",IF(AR400&lt;&gt;"","到貨","4次發包中"),IF(AG400&lt;&gt;"",IF(AQ400&lt;&gt;"","到貨","3次發包中"),IF(AF400&lt;&gt;"",IF(AP400&lt;&gt;"","到貨","2次發包中"),IF(AE400&lt;&gt;"",IF(AO400&lt;&gt;"","到貨","發包中"),"")))))</f>
        <v/>
      </c>
      <c r="AW400" s="86">
        <f>IF(OR($AW$6=Y400),$AW$6,"")</f>
        <v/>
      </c>
      <c r="AX400" s="87">
        <f t="array" ref="AX400">IF(OR(AV400:AW400={"到貨","庫存"}),"完成","")</f>
        <v/>
      </c>
      <c r="AY400" s="92">
        <f>E400*$M$1</f>
        <v/>
      </c>
    </row>
    <row r="401" outlineLevel="1" ht="14.25" customHeight="1">
      <c r="A401" s="67" t="n">
        <v>301</v>
      </c>
      <c r="B401" s="526" t="n"/>
      <c r="C401" s="393" t="n"/>
      <c r="D401" s="427" t="n"/>
      <c r="E401" s="526" t="n"/>
      <c r="F401" s="526" t="n"/>
      <c r="G401" s="527" t="n"/>
      <c r="H401" s="393" t="n"/>
      <c r="I401" s="528" t="n"/>
      <c r="J401" s="528" t="n"/>
      <c r="K401" s="528" t="n"/>
      <c r="L401" s="529" t="n"/>
      <c r="M401" s="529" t="n"/>
      <c r="N401" s="530" t="n"/>
      <c r="O401" s="531" t="n"/>
      <c r="P401" s="527" t="n"/>
      <c r="Q401" s="528" t="n"/>
      <c r="R401" s="528" t="n"/>
      <c r="S401" s="528" t="n"/>
      <c r="T401" s="543" t="n"/>
      <c r="U401" s="534" t="n"/>
      <c r="V401" s="516" t="n"/>
      <c r="W401" s="535" t="n"/>
      <c r="X401" s="536" t="n"/>
      <c r="Y401" s="519" t="n"/>
      <c r="Z401" s="683" t="n"/>
      <c r="AA401" s="684" t="n"/>
      <c r="AB401" s="684" t="n"/>
      <c r="AC401" s="684" t="n"/>
      <c r="AD401" s="685" t="n"/>
      <c r="AE401" s="686" t="n"/>
      <c r="AF401" s="684" t="n"/>
      <c r="AG401" s="687" t="n"/>
      <c r="AH401" s="687" t="n"/>
      <c r="AI401" s="684" t="n"/>
      <c r="AJ401" s="686" t="n"/>
      <c r="AK401" s="687" t="n"/>
      <c r="AL401" s="687" t="n"/>
      <c r="AM401" s="687" t="n"/>
      <c r="AN401" s="688" t="n"/>
      <c r="AO401" s="686" t="n"/>
      <c r="AP401" s="689" t="n"/>
      <c r="AQ401" s="689" t="n"/>
      <c r="AR401" s="689" t="n"/>
      <c r="AS401" s="690" t="n"/>
      <c r="AT401" s="691">
        <f>IF(AJ401&lt;&gt;"",(IF(AV401="到貨","",(AJ401-TODAY()))),"")</f>
        <v/>
      </c>
      <c r="AU401" s="692">
        <f>IF(AO401&lt;&gt;"",(AO401-AE401),"")</f>
        <v/>
      </c>
      <c r="AV401" s="86">
        <f>IF(AI401&lt;&gt;"",IF(AS401&lt;&gt;"","到貨","5次發包中"),IF(AH401&lt;&gt;"",IF(AR401&lt;&gt;"","到貨","4次發包中"),IF(AG401&lt;&gt;"",IF(AQ401&lt;&gt;"","到貨","3次發包中"),IF(AF401&lt;&gt;"",IF(AP401&lt;&gt;"","到貨","2次發包中"),IF(AE401&lt;&gt;"",IF(AO401&lt;&gt;"","到貨","發包中"),"")))))</f>
        <v/>
      </c>
      <c r="AW401" s="86">
        <f>IF(OR($AW$6=Y401),$AW$6,"")</f>
        <v/>
      </c>
      <c r="AX401" s="87">
        <f t="array" ref="AX401">IF(OR(AV401:AW401={"到貨","庫存"}),"完成","")</f>
        <v/>
      </c>
      <c r="AY401" s="92">
        <f>E401*$M$1</f>
        <v/>
      </c>
    </row>
    <row r="402" outlineLevel="1" ht="14.25" customHeight="1">
      <c r="A402" s="67" t="n">
        <v>301</v>
      </c>
      <c r="B402" s="526" t="n"/>
      <c r="C402" s="393" t="n"/>
      <c r="D402" s="427" t="n"/>
      <c r="E402" s="526" t="n"/>
      <c r="F402" s="526" t="n"/>
      <c r="G402" s="527" t="n"/>
      <c r="H402" s="393" t="n"/>
      <c r="I402" s="528" t="n"/>
      <c r="J402" s="528" t="n"/>
      <c r="K402" s="528" t="n"/>
      <c r="L402" s="529" t="n"/>
      <c r="M402" s="529" t="n"/>
      <c r="N402" s="530" t="n"/>
      <c r="O402" s="531" t="n"/>
      <c r="P402" s="527" t="n"/>
      <c r="Q402" s="528" t="n"/>
      <c r="R402" s="528" t="n"/>
      <c r="S402" s="528" t="n"/>
      <c r="T402" s="543" t="n"/>
      <c r="U402" s="534" t="n"/>
      <c r="V402" s="516" t="n"/>
      <c r="W402" s="535" t="n"/>
      <c r="X402" s="536" t="n"/>
      <c r="Y402" s="519" t="n"/>
      <c r="Z402" s="683" t="n"/>
      <c r="AA402" s="684" t="n"/>
      <c r="AB402" s="684" t="n"/>
      <c r="AC402" s="684" t="n"/>
      <c r="AD402" s="685" t="n"/>
      <c r="AE402" s="686" t="n"/>
      <c r="AF402" s="684" t="n"/>
      <c r="AG402" s="687" t="n"/>
      <c r="AH402" s="687" t="n"/>
      <c r="AI402" s="684" t="n"/>
      <c r="AJ402" s="686" t="n"/>
      <c r="AK402" s="687" t="n"/>
      <c r="AL402" s="687" t="n"/>
      <c r="AM402" s="687" t="n"/>
      <c r="AN402" s="688" t="n"/>
      <c r="AO402" s="686" t="n"/>
      <c r="AP402" s="689" t="n"/>
      <c r="AQ402" s="689" t="n"/>
      <c r="AR402" s="689" t="n"/>
      <c r="AS402" s="690" t="n"/>
      <c r="AT402" s="691">
        <f>IF(AJ402&lt;&gt;"",(IF(AV402="到貨","",(AJ402-TODAY()))),"")</f>
        <v/>
      </c>
      <c r="AU402" s="692">
        <f>IF(AO402&lt;&gt;"",(AO402-AE402),"")</f>
        <v/>
      </c>
      <c r="AV402" s="86">
        <f>IF(AI402&lt;&gt;"",IF(AS402&lt;&gt;"","到貨","5次發包中"),IF(AH402&lt;&gt;"",IF(AR402&lt;&gt;"","到貨","4次發包中"),IF(AG402&lt;&gt;"",IF(AQ402&lt;&gt;"","到貨","3次發包中"),IF(AF402&lt;&gt;"",IF(AP402&lt;&gt;"","到貨","2次發包中"),IF(AE402&lt;&gt;"",IF(AO402&lt;&gt;"","到貨","發包中"),"")))))</f>
        <v/>
      </c>
      <c r="AW402" s="86">
        <f>IF(OR($AW$6=Y402),$AW$6,"")</f>
        <v/>
      </c>
      <c r="AX402" s="87">
        <f t="array" ref="AX402">IF(OR(AV402:AW402={"到貨","庫存"}),"完成","")</f>
        <v/>
      </c>
      <c r="AY402" s="92">
        <f>E402*$M$1</f>
        <v/>
      </c>
    </row>
    <row r="403" outlineLevel="1" ht="14.25" customHeight="1">
      <c r="A403" s="67" t="n">
        <v>301</v>
      </c>
      <c r="B403" s="526" t="n"/>
      <c r="C403" s="393" t="n"/>
      <c r="D403" s="427" t="n"/>
      <c r="E403" s="526" t="n"/>
      <c r="F403" s="526" t="n"/>
      <c r="G403" s="527" t="n"/>
      <c r="H403" s="393" t="n"/>
      <c r="I403" s="528" t="n"/>
      <c r="J403" s="528" t="n"/>
      <c r="K403" s="528" t="n"/>
      <c r="L403" s="529" t="n"/>
      <c r="M403" s="529" t="n"/>
      <c r="N403" s="530" t="n"/>
      <c r="O403" s="531" t="n"/>
      <c r="P403" s="527" t="n"/>
      <c r="Q403" s="528" t="n"/>
      <c r="R403" s="528" t="n"/>
      <c r="S403" s="528" t="n"/>
      <c r="T403" s="543" t="n"/>
      <c r="U403" s="534" t="n"/>
      <c r="V403" s="516" t="n"/>
      <c r="W403" s="535" t="n"/>
      <c r="X403" s="536" t="n"/>
      <c r="Y403" s="519" t="n"/>
      <c r="Z403" s="683" t="n"/>
      <c r="AA403" s="684" t="n"/>
      <c r="AB403" s="684" t="n"/>
      <c r="AC403" s="684" t="n"/>
      <c r="AD403" s="685" t="n"/>
      <c r="AE403" s="686" t="n"/>
      <c r="AF403" s="684" t="n"/>
      <c r="AG403" s="687" t="n"/>
      <c r="AH403" s="687" t="n"/>
      <c r="AI403" s="684" t="n"/>
      <c r="AJ403" s="686" t="n"/>
      <c r="AK403" s="687" t="n"/>
      <c r="AL403" s="687" t="n"/>
      <c r="AM403" s="687" t="n"/>
      <c r="AN403" s="688" t="n"/>
      <c r="AO403" s="686" t="n"/>
      <c r="AP403" s="689" t="n"/>
      <c r="AQ403" s="689" t="n"/>
      <c r="AR403" s="689" t="n"/>
      <c r="AS403" s="690" t="n"/>
      <c r="AT403" s="691">
        <f>IF(AJ403&lt;&gt;"",(IF(AV403="到貨","",(AJ403-TODAY()))),"")</f>
        <v/>
      </c>
      <c r="AU403" s="692">
        <f>IF(AO403&lt;&gt;"",(AO403-AE403),"")</f>
        <v/>
      </c>
      <c r="AV403" s="86">
        <f>IF(AI403&lt;&gt;"",IF(AS403&lt;&gt;"","到貨","5次發包中"),IF(AH403&lt;&gt;"",IF(AR403&lt;&gt;"","到貨","4次發包中"),IF(AG403&lt;&gt;"",IF(AQ403&lt;&gt;"","到貨","3次發包中"),IF(AF403&lt;&gt;"",IF(AP403&lt;&gt;"","到貨","2次發包中"),IF(AE403&lt;&gt;"",IF(AO403&lt;&gt;"","到貨","發包中"),"")))))</f>
        <v/>
      </c>
      <c r="AW403" s="86">
        <f>IF(OR($AW$6=Y403),$AW$6,"")</f>
        <v/>
      </c>
      <c r="AX403" s="87">
        <f t="array" ref="AX403">IF(OR(AV403:AW403={"到貨","庫存"}),"完成","")</f>
        <v/>
      </c>
      <c r="AY403" s="92">
        <f>E403*$M$1</f>
        <v/>
      </c>
    </row>
    <row r="404" outlineLevel="1" ht="14.25" customHeight="1">
      <c r="A404" s="67" t="n">
        <v>301</v>
      </c>
      <c r="B404" s="526" t="n"/>
      <c r="C404" s="393" t="n"/>
      <c r="D404" s="427" t="n"/>
      <c r="E404" s="526" t="n"/>
      <c r="F404" s="526" t="n"/>
      <c r="G404" s="527" t="n"/>
      <c r="H404" s="393" t="n"/>
      <c r="I404" s="528" t="n"/>
      <c r="J404" s="528" t="n"/>
      <c r="K404" s="528" t="n"/>
      <c r="L404" s="529" t="n"/>
      <c r="M404" s="529" t="n"/>
      <c r="N404" s="530" t="n"/>
      <c r="O404" s="531" t="n"/>
      <c r="P404" s="527" t="n"/>
      <c r="Q404" s="528" t="n"/>
      <c r="R404" s="528" t="n"/>
      <c r="S404" s="528" t="n"/>
      <c r="T404" s="543" t="n"/>
      <c r="U404" s="534" t="n"/>
      <c r="V404" s="516" t="n"/>
      <c r="W404" s="535" t="n"/>
      <c r="X404" s="536" t="n"/>
      <c r="Y404" s="519" t="n"/>
      <c r="Z404" s="683" t="n"/>
      <c r="AA404" s="684" t="n"/>
      <c r="AB404" s="684" t="n"/>
      <c r="AC404" s="684" t="n"/>
      <c r="AD404" s="685" t="n"/>
      <c r="AE404" s="686" t="n"/>
      <c r="AF404" s="684" t="n"/>
      <c r="AG404" s="687" t="n"/>
      <c r="AH404" s="687" t="n"/>
      <c r="AI404" s="684" t="n"/>
      <c r="AJ404" s="686" t="n"/>
      <c r="AK404" s="687" t="n"/>
      <c r="AL404" s="687" t="n"/>
      <c r="AM404" s="687" t="n"/>
      <c r="AN404" s="688" t="n"/>
      <c r="AO404" s="686" t="n"/>
      <c r="AP404" s="689" t="n"/>
      <c r="AQ404" s="689" t="n"/>
      <c r="AR404" s="689" t="n"/>
      <c r="AS404" s="690" t="n"/>
      <c r="AT404" s="691">
        <f>IF(AJ404&lt;&gt;"",(IF(AV404="到貨","",(AJ404-TODAY()))),"")</f>
        <v/>
      </c>
      <c r="AU404" s="692">
        <f>IF(AO404&lt;&gt;"",(AO404-AE404),"")</f>
        <v/>
      </c>
      <c r="AV404" s="86">
        <f>IF(AI404&lt;&gt;"",IF(AS404&lt;&gt;"","到貨","5次發包中"),IF(AH404&lt;&gt;"",IF(AR404&lt;&gt;"","到貨","4次發包中"),IF(AG404&lt;&gt;"",IF(AQ404&lt;&gt;"","到貨","3次發包中"),IF(AF404&lt;&gt;"",IF(AP404&lt;&gt;"","到貨","2次發包中"),IF(AE404&lt;&gt;"",IF(AO404&lt;&gt;"","到貨","發包中"),"")))))</f>
        <v/>
      </c>
      <c r="AW404" s="86">
        <f>IF(OR($AW$6=Y404),$AW$6,"")</f>
        <v/>
      </c>
      <c r="AX404" s="87">
        <f t="array" ref="AX404">IF(OR(AV404:AW404={"到貨","庫存"}),"完成","")</f>
        <v/>
      </c>
      <c r="AY404" s="92">
        <f>E404*$M$1</f>
        <v/>
      </c>
    </row>
    <row r="405" outlineLevel="1" ht="14.25" customHeight="1">
      <c r="A405" s="67" t="n">
        <v>301</v>
      </c>
      <c r="B405" s="526" t="n"/>
      <c r="C405" s="393" t="n"/>
      <c r="D405" s="427" t="n"/>
      <c r="E405" s="526" t="n"/>
      <c r="F405" s="526" t="n"/>
      <c r="G405" s="527" t="n"/>
      <c r="H405" s="393" t="n"/>
      <c r="I405" s="528" t="n"/>
      <c r="J405" s="528" t="n"/>
      <c r="K405" s="528" t="n"/>
      <c r="L405" s="529" t="n"/>
      <c r="M405" s="529" t="n"/>
      <c r="N405" s="530" t="n"/>
      <c r="O405" s="531" t="n"/>
      <c r="P405" s="527" t="n"/>
      <c r="Q405" s="528" t="n"/>
      <c r="R405" s="528" t="n"/>
      <c r="S405" s="528" t="n"/>
      <c r="T405" s="543" t="n"/>
      <c r="U405" s="534" t="n"/>
      <c r="V405" s="516" t="n"/>
      <c r="W405" s="535" t="n"/>
      <c r="X405" s="536" t="n"/>
      <c r="Y405" s="519" t="n"/>
      <c r="Z405" s="683" t="n"/>
      <c r="AA405" s="684" t="n"/>
      <c r="AB405" s="684" t="n"/>
      <c r="AC405" s="684" t="n"/>
      <c r="AD405" s="685" t="n"/>
      <c r="AE405" s="686" t="n"/>
      <c r="AF405" s="684" t="n"/>
      <c r="AG405" s="687" t="n"/>
      <c r="AH405" s="687" t="n"/>
      <c r="AI405" s="684" t="n"/>
      <c r="AJ405" s="686" t="n"/>
      <c r="AK405" s="687" t="n"/>
      <c r="AL405" s="687" t="n"/>
      <c r="AM405" s="687" t="n"/>
      <c r="AN405" s="688" t="n"/>
      <c r="AO405" s="686" t="n"/>
      <c r="AP405" s="689" t="n"/>
      <c r="AQ405" s="689" t="n"/>
      <c r="AR405" s="689" t="n"/>
      <c r="AS405" s="690" t="n"/>
      <c r="AT405" s="691">
        <f>IF(AJ405&lt;&gt;"",(IF(AV405="到貨","",(AJ405-TODAY()))),"")</f>
        <v/>
      </c>
      <c r="AU405" s="692">
        <f>IF(AO405&lt;&gt;"",(AO405-AE405),"")</f>
        <v/>
      </c>
      <c r="AV405" s="86">
        <f>IF(AI405&lt;&gt;"",IF(AS405&lt;&gt;"","到貨","5次發包中"),IF(AH405&lt;&gt;"",IF(AR405&lt;&gt;"","到貨","4次發包中"),IF(AG405&lt;&gt;"",IF(AQ405&lt;&gt;"","到貨","3次發包中"),IF(AF405&lt;&gt;"",IF(AP405&lt;&gt;"","到貨","2次發包中"),IF(AE405&lt;&gt;"",IF(AO405&lt;&gt;"","到貨","發包中"),"")))))</f>
        <v/>
      </c>
      <c r="AW405" s="86">
        <f>IF(OR($AW$6=Y405),$AW$6,"")</f>
        <v/>
      </c>
      <c r="AX405" s="87">
        <f t="array" ref="AX405">IF(OR(AV405:AW405={"到貨","庫存"}),"完成","")</f>
        <v/>
      </c>
      <c r="AY405" s="92">
        <f>E405*$M$1</f>
        <v/>
      </c>
    </row>
    <row r="406" outlineLevel="1" ht="14.25" customHeight="1">
      <c r="A406" s="67" t="n">
        <v>301</v>
      </c>
      <c r="B406" s="526" t="n"/>
      <c r="C406" s="393" t="n"/>
      <c r="D406" s="427" t="n"/>
      <c r="E406" s="526" t="n"/>
      <c r="F406" s="526" t="n"/>
      <c r="G406" s="527" t="n"/>
      <c r="H406" s="393" t="n"/>
      <c r="I406" s="528" t="n"/>
      <c r="J406" s="528" t="n"/>
      <c r="K406" s="528" t="n"/>
      <c r="L406" s="529" t="n"/>
      <c r="M406" s="529" t="n"/>
      <c r="N406" s="530" t="n"/>
      <c r="O406" s="531" t="n"/>
      <c r="P406" s="527" t="n"/>
      <c r="Q406" s="528" t="n"/>
      <c r="R406" s="528" t="n"/>
      <c r="S406" s="528" t="n"/>
      <c r="T406" s="543" t="n"/>
      <c r="U406" s="534" t="n"/>
      <c r="V406" s="516" t="n"/>
      <c r="W406" s="535" t="n"/>
      <c r="X406" s="536" t="n"/>
      <c r="Y406" s="519" t="n"/>
      <c r="Z406" s="683" t="n"/>
      <c r="AA406" s="684" t="n"/>
      <c r="AB406" s="684" t="n"/>
      <c r="AC406" s="684" t="n"/>
      <c r="AD406" s="685" t="n"/>
      <c r="AE406" s="686" t="n"/>
      <c r="AF406" s="684" t="n"/>
      <c r="AG406" s="687" t="n"/>
      <c r="AH406" s="687" t="n"/>
      <c r="AI406" s="684" t="n"/>
      <c r="AJ406" s="686" t="n"/>
      <c r="AK406" s="687" t="n"/>
      <c r="AL406" s="687" t="n"/>
      <c r="AM406" s="687" t="n"/>
      <c r="AN406" s="688" t="n"/>
      <c r="AO406" s="686" t="n"/>
      <c r="AP406" s="689" t="n"/>
      <c r="AQ406" s="689" t="n"/>
      <c r="AR406" s="689" t="n"/>
      <c r="AS406" s="690" t="n"/>
      <c r="AT406" s="691">
        <f>IF(AJ406&lt;&gt;"",(IF(AV406="到貨","",(AJ406-TODAY()))),"")</f>
        <v/>
      </c>
      <c r="AU406" s="692">
        <f>IF(AO406&lt;&gt;"",(AO406-AE406),"")</f>
        <v/>
      </c>
      <c r="AV406" s="86">
        <f>IF(AI406&lt;&gt;"",IF(AS406&lt;&gt;"","到貨","5次發包中"),IF(AH406&lt;&gt;"",IF(AR406&lt;&gt;"","到貨","4次發包中"),IF(AG406&lt;&gt;"",IF(AQ406&lt;&gt;"","到貨","3次發包中"),IF(AF406&lt;&gt;"",IF(AP406&lt;&gt;"","到貨","2次發包中"),IF(AE406&lt;&gt;"",IF(AO406&lt;&gt;"","到貨","發包中"),"")))))</f>
        <v/>
      </c>
      <c r="AW406" s="86">
        <f>IF(OR($AW$6=Y406),$AW$6,"")</f>
        <v/>
      </c>
      <c r="AX406" s="87">
        <f t="array" ref="AX406">IF(OR(AV406:AW406={"到貨","庫存"}),"完成","")</f>
        <v/>
      </c>
      <c r="AY406" s="92">
        <f>E406*$M$1</f>
        <v/>
      </c>
    </row>
    <row r="407" outlineLevel="1" ht="14.25" customHeight="1">
      <c r="A407" s="67" t="n">
        <v>301</v>
      </c>
      <c r="B407" s="526" t="n"/>
      <c r="C407" s="393" t="n"/>
      <c r="D407" s="427" t="n"/>
      <c r="E407" s="526" t="n"/>
      <c r="F407" s="526" t="n"/>
      <c r="G407" s="527" t="n"/>
      <c r="H407" s="393" t="n"/>
      <c r="I407" s="528" t="n"/>
      <c r="J407" s="528" t="n"/>
      <c r="K407" s="528" t="n"/>
      <c r="L407" s="529" t="n"/>
      <c r="M407" s="529" t="n"/>
      <c r="N407" s="530" t="n"/>
      <c r="O407" s="531" t="n"/>
      <c r="P407" s="527" t="n"/>
      <c r="Q407" s="528" t="n"/>
      <c r="R407" s="528" t="n"/>
      <c r="S407" s="528" t="n"/>
      <c r="T407" s="543" t="n"/>
      <c r="U407" s="534" t="n"/>
      <c r="V407" s="516" t="n"/>
      <c r="W407" s="535" t="n"/>
      <c r="X407" s="536" t="n"/>
      <c r="Y407" s="519" t="n"/>
      <c r="Z407" s="683" t="n"/>
      <c r="AA407" s="684" t="n"/>
      <c r="AB407" s="684" t="n"/>
      <c r="AC407" s="684" t="n"/>
      <c r="AD407" s="685" t="n"/>
      <c r="AE407" s="686" t="n"/>
      <c r="AF407" s="684" t="n"/>
      <c r="AG407" s="687" t="n"/>
      <c r="AH407" s="687" t="n"/>
      <c r="AI407" s="684" t="n"/>
      <c r="AJ407" s="686" t="n"/>
      <c r="AK407" s="687" t="n"/>
      <c r="AL407" s="687" t="n"/>
      <c r="AM407" s="687" t="n"/>
      <c r="AN407" s="688" t="n"/>
      <c r="AO407" s="686" t="n"/>
      <c r="AP407" s="689" t="n"/>
      <c r="AQ407" s="689" t="n"/>
      <c r="AR407" s="689" t="n"/>
      <c r="AS407" s="690" t="n"/>
      <c r="AT407" s="691">
        <f>IF(AJ407&lt;&gt;"",(IF(AV407="到貨","",(AJ407-TODAY()))),"")</f>
        <v/>
      </c>
      <c r="AU407" s="692">
        <f>IF(AO407&lt;&gt;"",(AO407-AE407),"")</f>
        <v/>
      </c>
      <c r="AV407" s="86">
        <f>IF(AI407&lt;&gt;"",IF(AS407&lt;&gt;"","到貨","5次發包中"),IF(AH407&lt;&gt;"",IF(AR407&lt;&gt;"","到貨","4次發包中"),IF(AG407&lt;&gt;"",IF(AQ407&lt;&gt;"","到貨","3次發包中"),IF(AF407&lt;&gt;"",IF(AP407&lt;&gt;"","到貨","2次發包中"),IF(AE407&lt;&gt;"",IF(AO407&lt;&gt;"","到貨","發包中"),"")))))</f>
        <v/>
      </c>
      <c r="AW407" s="86">
        <f>IF(OR($AW$6=Y407),$AW$6,"")</f>
        <v/>
      </c>
      <c r="AX407" s="87">
        <f t="array" ref="AX407">IF(OR(AV407:AW407={"到貨","庫存"}),"完成","")</f>
        <v/>
      </c>
      <c r="AY407" s="92">
        <f>E407*$M$1</f>
        <v/>
      </c>
    </row>
    <row r="408" outlineLevel="1" ht="14.25" customHeight="1">
      <c r="A408" s="67" t="n">
        <v>301</v>
      </c>
      <c r="B408" s="526" t="n"/>
      <c r="C408" s="393" t="n"/>
      <c r="D408" s="427" t="n"/>
      <c r="E408" s="526" t="n"/>
      <c r="F408" s="526" t="n"/>
      <c r="G408" s="527" t="n"/>
      <c r="H408" s="393" t="n"/>
      <c r="I408" s="528" t="n"/>
      <c r="J408" s="528" t="n"/>
      <c r="K408" s="528" t="n"/>
      <c r="L408" s="529" t="n"/>
      <c r="M408" s="529" t="n"/>
      <c r="N408" s="530" t="n"/>
      <c r="O408" s="531" t="n"/>
      <c r="P408" s="527" t="n"/>
      <c r="Q408" s="528" t="n"/>
      <c r="R408" s="528" t="n"/>
      <c r="S408" s="528" t="n"/>
      <c r="T408" s="543" t="n"/>
      <c r="U408" s="534" t="n"/>
      <c r="V408" s="516" t="n"/>
      <c r="W408" s="535" t="n"/>
      <c r="X408" s="536" t="n"/>
      <c r="Y408" s="519" t="n"/>
      <c r="Z408" s="683" t="n"/>
      <c r="AA408" s="684" t="n"/>
      <c r="AB408" s="684" t="n"/>
      <c r="AC408" s="684" t="n"/>
      <c r="AD408" s="685" t="n"/>
      <c r="AE408" s="686" t="n"/>
      <c r="AF408" s="684" t="n"/>
      <c r="AG408" s="687" t="n"/>
      <c r="AH408" s="687" t="n"/>
      <c r="AI408" s="684" t="n"/>
      <c r="AJ408" s="686" t="n"/>
      <c r="AK408" s="687" t="n"/>
      <c r="AL408" s="687" t="n"/>
      <c r="AM408" s="687" t="n"/>
      <c r="AN408" s="688" t="n"/>
      <c r="AO408" s="686" t="n"/>
      <c r="AP408" s="689" t="n"/>
      <c r="AQ408" s="689" t="n"/>
      <c r="AR408" s="689" t="n"/>
      <c r="AS408" s="690" t="n"/>
      <c r="AT408" s="691">
        <f>IF(AJ408&lt;&gt;"",(IF(AV408="到貨","",(AJ408-TODAY()))),"")</f>
        <v/>
      </c>
      <c r="AU408" s="692">
        <f>IF(AO408&lt;&gt;"",(AO408-AE408),"")</f>
        <v/>
      </c>
      <c r="AV408" s="86">
        <f>IF(AI408&lt;&gt;"",IF(AS408&lt;&gt;"","到貨","5次發包中"),IF(AH408&lt;&gt;"",IF(AR408&lt;&gt;"","到貨","4次發包中"),IF(AG408&lt;&gt;"",IF(AQ408&lt;&gt;"","到貨","3次發包中"),IF(AF408&lt;&gt;"",IF(AP408&lt;&gt;"","到貨","2次發包中"),IF(AE408&lt;&gt;"",IF(AO408&lt;&gt;"","到貨","發包中"),"")))))</f>
        <v/>
      </c>
      <c r="AW408" s="86">
        <f>IF(OR($AW$6=Y408),$AW$6,"")</f>
        <v/>
      </c>
      <c r="AX408" s="87">
        <f t="array" ref="AX408">IF(OR(AV408:AW408={"到貨","庫存"}),"完成","")</f>
        <v/>
      </c>
      <c r="AY408" s="92">
        <f>E408*$M$1</f>
        <v/>
      </c>
    </row>
    <row r="409" outlineLevel="1" ht="14.25" customHeight="1">
      <c r="A409" s="67" t="n">
        <v>301</v>
      </c>
      <c r="B409" s="526" t="n"/>
      <c r="C409" s="393" t="n"/>
      <c r="D409" s="427" t="n"/>
      <c r="E409" s="526" t="n"/>
      <c r="F409" s="526" t="n"/>
      <c r="G409" s="527" t="n"/>
      <c r="H409" s="393" t="n"/>
      <c r="I409" s="528" t="n"/>
      <c r="J409" s="528" t="n"/>
      <c r="K409" s="528" t="n"/>
      <c r="L409" s="529" t="n"/>
      <c r="M409" s="529" t="n"/>
      <c r="N409" s="530" t="n"/>
      <c r="O409" s="531" t="n"/>
      <c r="P409" s="527" t="n"/>
      <c r="Q409" s="528" t="n"/>
      <c r="R409" s="528" t="n"/>
      <c r="S409" s="528" t="n"/>
      <c r="T409" s="543" t="n"/>
      <c r="U409" s="534" t="n"/>
      <c r="V409" s="516" t="n"/>
      <c r="W409" s="535" t="n"/>
      <c r="X409" s="536" t="n"/>
      <c r="Y409" s="519" t="n"/>
      <c r="Z409" s="683" t="n"/>
      <c r="AA409" s="684" t="n"/>
      <c r="AB409" s="684" t="n"/>
      <c r="AC409" s="684" t="n"/>
      <c r="AD409" s="685" t="n"/>
      <c r="AE409" s="686" t="n"/>
      <c r="AF409" s="684" t="n"/>
      <c r="AG409" s="687" t="n"/>
      <c r="AH409" s="687" t="n"/>
      <c r="AI409" s="684" t="n"/>
      <c r="AJ409" s="686" t="n"/>
      <c r="AK409" s="687" t="n"/>
      <c r="AL409" s="687" t="n"/>
      <c r="AM409" s="687" t="n"/>
      <c r="AN409" s="688" t="n"/>
      <c r="AO409" s="686" t="n"/>
      <c r="AP409" s="689" t="n"/>
      <c r="AQ409" s="689" t="n"/>
      <c r="AR409" s="689" t="n"/>
      <c r="AS409" s="690" t="n"/>
      <c r="AT409" s="691">
        <f>IF(AJ409&lt;&gt;"",(IF(AV409="到貨","",(AJ409-TODAY()))),"")</f>
        <v/>
      </c>
      <c r="AU409" s="692">
        <f>IF(AO409&lt;&gt;"",(AO409-AE409),"")</f>
        <v/>
      </c>
      <c r="AV409" s="86">
        <f>IF(AI409&lt;&gt;"",IF(AS409&lt;&gt;"","到貨","5次發包中"),IF(AH409&lt;&gt;"",IF(AR409&lt;&gt;"","到貨","4次發包中"),IF(AG409&lt;&gt;"",IF(AQ409&lt;&gt;"","到貨","3次發包中"),IF(AF409&lt;&gt;"",IF(AP409&lt;&gt;"","到貨","2次發包中"),IF(AE409&lt;&gt;"",IF(AO409&lt;&gt;"","到貨","發包中"),"")))))</f>
        <v/>
      </c>
      <c r="AW409" s="86">
        <f>IF(OR($AW$6=Y409),$AW$6,"")</f>
        <v/>
      </c>
      <c r="AX409" s="87">
        <f t="array" ref="AX409">IF(OR(AV409:AW409={"到貨","庫存"}),"完成","")</f>
        <v/>
      </c>
      <c r="AY409" s="92">
        <f>E409*$M$1</f>
        <v/>
      </c>
    </row>
    <row r="410" outlineLevel="1" ht="14.25" customHeight="1">
      <c r="A410" s="67" t="n">
        <v>301</v>
      </c>
      <c r="B410" s="526" t="n"/>
      <c r="C410" s="393" t="n"/>
      <c r="D410" s="427" t="n"/>
      <c r="E410" s="526" t="n"/>
      <c r="F410" s="526" t="n"/>
      <c r="G410" s="527" t="n"/>
      <c r="H410" s="393" t="n"/>
      <c r="I410" s="528" t="n"/>
      <c r="J410" s="528" t="n"/>
      <c r="K410" s="528" t="n"/>
      <c r="L410" s="529" t="n"/>
      <c r="M410" s="529" t="n"/>
      <c r="N410" s="530" t="n"/>
      <c r="O410" s="531" t="n"/>
      <c r="P410" s="527" t="n"/>
      <c r="Q410" s="528" t="n"/>
      <c r="R410" s="528" t="n"/>
      <c r="S410" s="528" t="n"/>
      <c r="T410" s="543" t="n"/>
      <c r="U410" s="534" t="n"/>
      <c r="V410" s="516" t="n"/>
      <c r="W410" s="535" t="n"/>
      <c r="X410" s="536" t="n"/>
      <c r="Y410" s="519" t="n"/>
      <c r="Z410" s="683" t="n"/>
      <c r="AA410" s="684" t="n"/>
      <c r="AB410" s="684" t="n"/>
      <c r="AC410" s="684" t="n"/>
      <c r="AD410" s="685" t="n"/>
      <c r="AE410" s="686" t="n"/>
      <c r="AF410" s="684" t="n"/>
      <c r="AG410" s="687" t="n"/>
      <c r="AH410" s="687" t="n"/>
      <c r="AI410" s="684" t="n"/>
      <c r="AJ410" s="686" t="n"/>
      <c r="AK410" s="687" t="n"/>
      <c r="AL410" s="687" t="n"/>
      <c r="AM410" s="687" t="n"/>
      <c r="AN410" s="688" t="n"/>
      <c r="AO410" s="686" t="n"/>
      <c r="AP410" s="689" t="n"/>
      <c r="AQ410" s="689" t="n"/>
      <c r="AR410" s="689" t="n"/>
      <c r="AS410" s="690" t="n"/>
      <c r="AT410" s="691">
        <f>IF(AJ410&lt;&gt;"",(IF(AV410="到貨","",(AJ410-TODAY()))),"")</f>
        <v/>
      </c>
      <c r="AU410" s="692">
        <f>IF(AO410&lt;&gt;"",(AO410-AE410),"")</f>
        <v/>
      </c>
      <c r="AV410" s="86">
        <f>IF(AI410&lt;&gt;"",IF(AS410&lt;&gt;"","到貨","5次發包中"),IF(AH410&lt;&gt;"",IF(AR410&lt;&gt;"","到貨","4次發包中"),IF(AG410&lt;&gt;"",IF(AQ410&lt;&gt;"","到貨","3次發包中"),IF(AF410&lt;&gt;"",IF(AP410&lt;&gt;"","到貨","2次發包中"),IF(AE410&lt;&gt;"",IF(AO410&lt;&gt;"","到貨","發包中"),"")))))</f>
        <v/>
      </c>
      <c r="AW410" s="86">
        <f>IF(OR($AW$6=Y410),$AW$6,"")</f>
        <v/>
      </c>
      <c r="AX410" s="87">
        <f t="array" ref="AX410">IF(OR(AV410:AW410={"到貨","庫存"}),"完成","")</f>
        <v/>
      </c>
      <c r="AY410" s="92">
        <f>E410*$M$1</f>
        <v/>
      </c>
    </row>
    <row r="411" outlineLevel="1" ht="14.25" customHeight="1">
      <c r="A411" s="67" t="n">
        <v>301</v>
      </c>
      <c r="B411" s="526" t="n"/>
      <c r="C411" s="393" t="n"/>
      <c r="D411" s="427" t="n"/>
      <c r="E411" s="526" t="n"/>
      <c r="F411" s="526" t="n"/>
      <c r="G411" s="527" t="n"/>
      <c r="H411" s="393" t="n"/>
      <c r="I411" s="528" t="n"/>
      <c r="J411" s="528" t="n"/>
      <c r="K411" s="528" t="n"/>
      <c r="L411" s="529" t="n"/>
      <c r="M411" s="529" t="n"/>
      <c r="N411" s="530" t="n"/>
      <c r="O411" s="531" t="n"/>
      <c r="P411" s="527" t="n"/>
      <c r="Q411" s="528" t="n"/>
      <c r="R411" s="528" t="n"/>
      <c r="S411" s="528" t="n"/>
      <c r="T411" s="543" t="n"/>
      <c r="U411" s="534" t="n"/>
      <c r="V411" s="516" t="n"/>
      <c r="W411" s="535" t="n"/>
      <c r="X411" s="536" t="n"/>
      <c r="Y411" s="519" t="n"/>
      <c r="Z411" s="683" t="n"/>
      <c r="AA411" s="684" t="n"/>
      <c r="AB411" s="684" t="n"/>
      <c r="AC411" s="684" t="n"/>
      <c r="AD411" s="685" t="n"/>
      <c r="AE411" s="686" t="n"/>
      <c r="AF411" s="684" t="n"/>
      <c r="AG411" s="687" t="n"/>
      <c r="AH411" s="687" t="n"/>
      <c r="AI411" s="684" t="n"/>
      <c r="AJ411" s="686" t="n"/>
      <c r="AK411" s="687" t="n"/>
      <c r="AL411" s="687" t="n"/>
      <c r="AM411" s="687" t="n"/>
      <c r="AN411" s="688" t="n"/>
      <c r="AO411" s="686" t="n"/>
      <c r="AP411" s="689" t="n"/>
      <c r="AQ411" s="689" t="n"/>
      <c r="AR411" s="689" t="n"/>
      <c r="AS411" s="690" t="n"/>
      <c r="AT411" s="691">
        <f>IF(AJ411&lt;&gt;"",(IF(AV411="到貨","",(AJ411-TODAY()))),"")</f>
        <v/>
      </c>
      <c r="AU411" s="692">
        <f>IF(AO411&lt;&gt;"",(AO411-AE411),"")</f>
        <v/>
      </c>
      <c r="AV411" s="86">
        <f>IF(AI411&lt;&gt;"",IF(AS411&lt;&gt;"","到貨","5次發包中"),IF(AH411&lt;&gt;"",IF(AR411&lt;&gt;"","到貨","4次發包中"),IF(AG411&lt;&gt;"",IF(AQ411&lt;&gt;"","到貨","3次發包中"),IF(AF411&lt;&gt;"",IF(AP411&lt;&gt;"","到貨","2次發包中"),IF(AE411&lt;&gt;"",IF(AO411&lt;&gt;"","到貨","發包中"),"")))))</f>
        <v/>
      </c>
      <c r="AW411" s="86">
        <f>IF(OR($AW$6=Y411),$AW$6,"")</f>
        <v/>
      </c>
      <c r="AX411" s="87">
        <f t="array" ref="AX411">IF(OR(AV411:AW411={"到貨","庫存"}),"完成","")</f>
        <v/>
      </c>
      <c r="AY411" s="92">
        <f>E411*$M$1</f>
        <v/>
      </c>
    </row>
    <row r="412" outlineLevel="1" ht="14.25" customHeight="1">
      <c r="A412" s="67" t="n">
        <v>301</v>
      </c>
      <c r="B412" s="526" t="n"/>
      <c r="C412" s="393" t="n"/>
      <c r="D412" s="427" t="n"/>
      <c r="E412" s="526" t="n"/>
      <c r="F412" s="526" t="n"/>
      <c r="G412" s="527" t="n"/>
      <c r="H412" s="393" t="n"/>
      <c r="I412" s="528" t="n"/>
      <c r="J412" s="528" t="n"/>
      <c r="K412" s="528" t="n"/>
      <c r="L412" s="529" t="n"/>
      <c r="M412" s="529" t="n"/>
      <c r="N412" s="530" t="n"/>
      <c r="O412" s="531" t="n"/>
      <c r="P412" s="527" t="n"/>
      <c r="Q412" s="528" t="n"/>
      <c r="R412" s="528" t="n"/>
      <c r="S412" s="528" t="n"/>
      <c r="T412" s="543" t="n"/>
      <c r="U412" s="534" t="n"/>
      <c r="V412" s="516" t="n"/>
      <c r="W412" s="535" t="n"/>
      <c r="X412" s="536" t="n"/>
      <c r="Y412" s="519" t="n"/>
      <c r="Z412" s="683" t="n"/>
      <c r="AA412" s="684" t="n"/>
      <c r="AB412" s="684" t="n"/>
      <c r="AC412" s="684" t="n"/>
      <c r="AD412" s="685" t="n"/>
      <c r="AE412" s="686" t="n"/>
      <c r="AF412" s="684" t="n"/>
      <c r="AG412" s="687" t="n"/>
      <c r="AH412" s="687" t="n"/>
      <c r="AI412" s="684" t="n"/>
      <c r="AJ412" s="686" t="n"/>
      <c r="AK412" s="687" t="n"/>
      <c r="AL412" s="687" t="n"/>
      <c r="AM412" s="687" t="n"/>
      <c r="AN412" s="688" t="n"/>
      <c r="AO412" s="686" t="n"/>
      <c r="AP412" s="689" t="n"/>
      <c r="AQ412" s="689" t="n"/>
      <c r="AR412" s="689" t="n"/>
      <c r="AS412" s="690" t="n"/>
      <c r="AT412" s="691">
        <f>IF(AJ412&lt;&gt;"",(IF(AV412="到貨","",(AJ412-TODAY()))),"")</f>
        <v/>
      </c>
      <c r="AU412" s="692">
        <f>IF(AO412&lt;&gt;"",(AO412-AE412),"")</f>
        <v/>
      </c>
      <c r="AV412" s="86">
        <f>IF(AI412&lt;&gt;"",IF(AS412&lt;&gt;"","到貨","5次發包中"),IF(AH412&lt;&gt;"",IF(AR412&lt;&gt;"","到貨","4次發包中"),IF(AG412&lt;&gt;"",IF(AQ412&lt;&gt;"","到貨","3次發包中"),IF(AF412&lt;&gt;"",IF(AP412&lt;&gt;"","到貨","2次發包中"),IF(AE412&lt;&gt;"",IF(AO412&lt;&gt;"","到貨","發包中"),"")))))</f>
        <v/>
      </c>
      <c r="AW412" s="86">
        <f>IF(OR($AW$6=Y412),$AW$6,"")</f>
        <v/>
      </c>
      <c r="AX412" s="87">
        <f t="array" ref="AX412">IF(OR(AV412:AW412={"到貨","庫存"}),"完成","")</f>
        <v/>
      </c>
      <c r="AY412" s="92">
        <f>E412*$M$1</f>
        <v/>
      </c>
    </row>
    <row r="413" outlineLevel="1" ht="14.25" customHeight="1">
      <c r="A413" s="67" t="n">
        <v>301</v>
      </c>
      <c r="B413" s="526" t="n"/>
      <c r="C413" s="393" t="n"/>
      <c r="D413" s="427" t="n"/>
      <c r="E413" s="526" t="n"/>
      <c r="F413" s="526" t="n"/>
      <c r="G413" s="527" t="n"/>
      <c r="H413" s="393" t="n"/>
      <c r="I413" s="528" t="n"/>
      <c r="J413" s="528" t="n"/>
      <c r="K413" s="528" t="n"/>
      <c r="L413" s="529" t="n"/>
      <c r="M413" s="529" t="n"/>
      <c r="N413" s="530" t="n"/>
      <c r="O413" s="531" t="n"/>
      <c r="P413" s="527" t="n"/>
      <c r="Q413" s="528" t="n"/>
      <c r="R413" s="528" t="n"/>
      <c r="S413" s="528" t="n"/>
      <c r="T413" s="543" t="n"/>
      <c r="U413" s="534" t="n"/>
      <c r="V413" s="516" t="n"/>
      <c r="W413" s="535" t="n"/>
      <c r="X413" s="536" t="n"/>
      <c r="Y413" s="519" t="n"/>
      <c r="Z413" s="683" t="n"/>
      <c r="AA413" s="684" t="n"/>
      <c r="AB413" s="684" t="n"/>
      <c r="AC413" s="684" t="n"/>
      <c r="AD413" s="685" t="n"/>
      <c r="AE413" s="686" t="n"/>
      <c r="AF413" s="684" t="n"/>
      <c r="AG413" s="687" t="n"/>
      <c r="AH413" s="687" t="n"/>
      <c r="AI413" s="684" t="n"/>
      <c r="AJ413" s="686" t="n"/>
      <c r="AK413" s="687" t="n"/>
      <c r="AL413" s="687" t="n"/>
      <c r="AM413" s="687" t="n"/>
      <c r="AN413" s="688" t="n"/>
      <c r="AO413" s="686" t="n"/>
      <c r="AP413" s="689" t="n"/>
      <c r="AQ413" s="689" t="n"/>
      <c r="AR413" s="689" t="n"/>
      <c r="AS413" s="690" t="n"/>
      <c r="AT413" s="691">
        <f>IF(AJ413&lt;&gt;"",(IF(AV413="到貨","",(AJ413-TODAY()))),"")</f>
        <v/>
      </c>
      <c r="AU413" s="692">
        <f>IF(AO413&lt;&gt;"",(AO413-AE413),"")</f>
        <v/>
      </c>
      <c r="AV413" s="86">
        <f>IF(AI413&lt;&gt;"",IF(AS413&lt;&gt;"","到貨","5次發包中"),IF(AH413&lt;&gt;"",IF(AR413&lt;&gt;"","到貨","4次發包中"),IF(AG413&lt;&gt;"",IF(AQ413&lt;&gt;"","到貨","3次發包中"),IF(AF413&lt;&gt;"",IF(AP413&lt;&gt;"","到貨","2次發包中"),IF(AE413&lt;&gt;"",IF(AO413&lt;&gt;"","到貨","發包中"),"")))))</f>
        <v/>
      </c>
      <c r="AW413" s="86">
        <f>IF(OR($AW$6=Y413),$AW$6,"")</f>
        <v/>
      </c>
      <c r="AX413" s="87">
        <f t="array" ref="AX413">IF(OR(AV413:AW413={"到貨","庫存"}),"完成","")</f>
        <v/>
      </c>
      <c r="AY413" s="92">
        <f>E413*$M$1</f>
        <v/>
      </c>
    </row>
    <row r="414" outlineLevel="1" ht="14.25" customHeight="1">
      <c r="A414" s="67" t="n">
        <v>301</v>
      </c>
      <c r="B414" s="526" t="n"/>
      <c r="C414" s="393" t="n"/>
      <c r="D414" s="427" t="n"/>
      <c r="E414" s="526" t="n"/>
      <c r="F414" s="526" t="n"/>
      <c r="G414" s="527" t="n"/>
      <c r="H414" s="393" t="n"/>
      <c r="I414" s="528" t="n"/>
      <c r="J414" s="528" t="n"/>
      <c r="K414" s="528" t="n"/>
      <c r="L414" s="529" t="n"/>
      <c r="M414" s="529" t="n"/>
      <c r="N414" s="530" t="n"/>
      <c r="O414" s="531" t="n"/>
      <c r="P414" s="527" t="n"/>
      <c r="Q414" s="528" t="n"/>
      <c r="R414" s="528" t="n"/>
      <c r="S414" s="528" t="n"/>
      <c r="T414" s="543" t="n"/>
      <c r="U414" s="534" t="n"/>
      <c r="V414" s="516" t="n"/>
      <c r="W414" s="535" t="n"/>
      <c r="X414" s="536" t="n"/>
      <c r="Y414" s="519" t="n"/>
      <c r="Z414" s="683" t="n"/>
      <c r="AA414" s="684" t="n"/>
      <c r="AB414" s="684" t="n"/>
      <c r="AC414" s="684" t="n"/>
      <c r="AD414" s="685" t="n"/>
      <c r="AE414" s="686" t="n"/>
      <c r="AF414" s="684" t="n"/>
      <c r="AG414" s="687" t="n"/>
      <c r="AH414" s="687" t="n"/>
      <c r="AI414" s="684" t="n"/>
      <c r="AJ414" s="686" t="n"/>
      <c r="AK414" s="687" t="n"/>
      <c r="AL414" s="687" t="n"/>
      <c r="AM414" s="687" t="n"/>
      <c r="AN414" s="688" t="n"/>
      <c r="AO414" s="686" t="n"/>
      <c r="AP414" s="689" t="n"/>
      <c r="AQ414" s="689" t="n"/>
      <c r="AR414" s="689" t="n"/>
      <c r="AS414" s="690" t="n"/>
      <c r="AT414" s="691">
        <f>IF(AJ414&lt;&gt;"",(IF(AV414="到貨","",(AJ414-TODAY()))),"")</f>
        <v/>
      </c>
      <c r="AU414" s="692">
        <f>IF(AO414&lt;&gt;"",(AO414-AE414),"")</f>
        <v/>
      </c>
      <c r="AV414" s="86">
        <f>IF(AI414&lt;&gt;"",IF(AS414&lt;&gt;"","到貨","5次發包中"),IF(AH414&lt;&gt;"",IF(AR414&lt;&gt;"","到貨","4次發包中"),IF(AG414&lt;&gt;"",IF(AQ414&lt;&gt;"","到貨","3次發包中"),IF(AF414&lt;&gt;"",IF(AP414&lt;&gt;"","到貨","2次發包中"),IF(AE414&lt;&gt;"",IF(AO414&lt;&gt;"","到貨","發包中"),"")))))</f>
        <v/>
      </c>
      <c r="AW414" s="86">
        <f>IF(OR($AW$6=Y414),$AW$6,"")</f>
        <v/>
      </c>
      <c r="AX414" s="87">
        <f t="array" ref="AX414">IF(OR(AV414:AW414={"到貨","庫存"}),"完成","")</f>
        <v/>
      </c>
      <c r="AY414" s="92">
        <f>E414*$M$1</f>
        <v/>
      </c>
    </row>
    <row r="415" outlineLevel="1" ht="14.25" customHeight="1">
      <c r="A415" s="67" t="n">
        <v>301</v>
      </c>
      <c r="B415" s="526" t="n"/>
      <c r="C415" s="393" t="n"/>
      <c r="D415" s="427" t="n"/>
      <c r="E415" s="526" t="n"/>
      <c r="F415" s="526" t="n"/>
      <c r="G415" s="527" t="n"/>
      <c r="H415" s="393" t="n"/>
      <c r="I415" s="528" t="n"/>
      <c r="J415" s="528" t="n"/>
      <c r="K415" s="528" t="n"/>
      <c r="L415" s="529" t="n"/>
      <c r="M415" s="529" t="n"/>
      <c r="N415" s="530" t="n"/>
      <c r="O415" s="531" t="n"/>
      <c r="P415" s="527" t="n"/>
      <c r="Q415" s="528" t="n"/>
      <c r="R415" s="528" t="n"/>
      <c r="S415" s="528" t="n"/>
      <c r="T415" s="543" t="n"/>
      <c r="U415" s="534" t="n"/>
      <c r="V415" s="516" t="n"/>
      <c r="W415" s="535" t="n"/>
      <c r="X415" s="536" t="n"/>
      <c r="Y415" s="519" t="n"/>
      <c r="Z415" s="683" t="n"/>
      <c r="AA415" s="684" t="n"/>
      <c r="AB415" s="684" t="n"/>
      <c r="AC415" s="684" t="n"/>
      <c r="AD415" s="685" t="n"/>
      <c r="AE415" s="686" t="n"/>
      <c r="AF415" s="684" t="n"/>
      <c r="AG415" s="687" t="n"/>
      <c r="AH415" s="687" t="n"/>
      <c r="AI415" s="684" t="n"/>
      <c r="AJ415" s="686" t="n"/>
      <c r="AK415" s="687" t="n"/>
      <c r="AL415" s="687" t="n"/>
      <c r="AM415" s="687" t="n"/>
      <c r="AN415" s="688" t="n"/>
      <c r="AO415" s="686" t="n"/>
      <c r="AP415" s="689" t="n"/>
      <c r="AQ415" s="689" t="n"/>
      <c r="AR415" s="689" t="n"/>
      <c r="AS415" s="690" t="n"/>
      <c r="AT415" s="691">
        <f>IF(AJ415&lt;&gt;"",(IF(AV415="到貨","",(AJ415-TODAY()))),"")</f>
        <v/>
      </c>
      <c r="AU415" s="692">
        <f>IF(AO415&lt;&gt;"",(AO415-AE415),"")</f>
        <v/>
      </c>
      <c r="AV415" s="86">
        <f>IF(AI415&lt;&gt;"",IF(AS415&lt;&gt;"","到貨","5次發包中"),IF(AH415&lt;&gt;"",IF(AR415&lt;&gt;"","到貨","4次發包中"),IF(AG415&lt;&gt;"",IF(AQ415&lt;&gt;"","到貨","3次發包中"),IF(AF415&lt;&gt;"",IF(AP415&lt;&gt;"","到貨","2次發包中"),IF(AE415&lt;&gt;"",IF(AO415&lt;&gt;"","到貨","發包中"),"")))))</f>
        <v/>
      </c>
      <c r="AW415" s="86">
        <f>IF(OR($AW$6=Y415),$AW$6,"")</f>
        <v/>
      </c>
      <c r="AX415" s="87">
        <f t="array" ref="AX415">IF(OR(AV415:AW415={"到貨","庫存"}),"完成","")</f>
        <v/>
      </c>
      <c r="AY415" s="92">
        <f>E415*$M$1</f>
        <v/>
      </c>
    </row>
    <row r="416" outlineLevel="1" ht="14.25" customHeight="1">
      <c r="A416" s="67" t="n">
        <v>301</v>
      </c>
      <c r="B416" s="526" t="n"/>
      <c r="C416" s="393" t="n"/>
      <c r="D416" s="427" t="n"/>
      <c r="E416" s="526" t="n"/>
      <c r="F416" s="526" t="n"/>
      <c r="G416" s="527" t="n"/>
      <c r="H416" s="393" t="n"/>
      <c r="I416" s="528" t="n"/>
      <c r="J416" s="528" t="n"/>
      <c r="K416" s="528" t="n"/>
      <c r="L416" s="529" t="n"/>
      <c r="M416" s="529" t="n"/>
      <c r="N416" s="530" t="n"/>
      <c r="O416" s="531" t="n"/>
      <c r="P416" s="527" t="n"/>
      <c r="Q416" s="528" t="n"/>
      <c r="R416" s="528" t="n"/>
      <c r="S416" s="528" t="n"/>
      <c r="T416" s="543" t="n"/>
      <c r="U416" s="534" t="n"/>
      <c r="V416" s="516" t="n"/>
      <c r="W416" s="535" t="n"/>
      <c r="X416" s="536" t="n"/>
      <c r="Y416" s="519" t="n"/>
      <c r="Z416" s="683" t="n"/>
      <c r="AA416" s="684" t="n"/>
      <c r="AB416" s="684" t="n"/>
      <c r="AC416" s="684" t="n"/>
      <c r="AD416" s="685" t="n"/>
      <c r="AE416" s="686" t="n"/>
      <c r="AF416" s="684" t="n"/>
      <c r="AG416" s="687" t="n"/>
      <c r="AH416" s="687" t="n"/>
      <c r="AI416" s="684" t="n"/>
      <c r="AJ416" s="686" t="n"/>
      <c r="AK416" s="687" t="n"/>
      <c r="AL416" s="687" t="n"/>
      <c r="AM416" s="687" t="n"/>
      <c r="AN416" s="688" t="n"/>
      <c r="AO416" s="686" t="n"/>
      <c r="AP416" s="689" t="n"/>
      <c r="AQ416" s="689" t="n"/>
      <c r="AR416" s="689" t="n"/>
      <c r="AS416" s="690" t="n"/>
      <c r="AT416" s="691">
        <f>IF(AJ416&lt;&gt;"",(IF(AV416="到貨","",(AJ416-TODAY()))),"")</f>
        <v/>
      </c>
      <c r="AU416" s="692">
        <f>IF(AO416&lt;&gt;"",(AO416-AE416),"")</f>
        <v/>
      </c>
      <c r="AV416" s="86">
        <f>IF(AI416&lt;&gt;"",IF(AS416&lt;&gt;"","到貨","5次發包中"),IF(AH416&lt;&gt;"",IF(AR416&lt;&gt;"","到貨","4次發包中"),IF(AG416&lt;&gt;"",IF(AQ416&lt;&gt;"","到貨","3次發包中"),IF(AF416&lt;&gt;"",IF(AP416&lt;&gt;"","到貨","2次發包中"),IF(AE416&lt;&gt;"",IF(AO416&lt;&gt;"","到貨","發包中"),"")))))</f>
        <v/>
      </c>
      <c r="AW416" s="86">
        <f>IF(OR($AW$6=Y416),$AW$6,"")</f>
        <v/>
      </c>
      <c r="AX416" s="87">
        <f t="array" ref="AX416">IF(OR(AV416:AW416={"到貨","庫存"}),"完成","")</f>
        <v/>
      </c>
      <c r="AY416" s="92">
        <f>E416*$M$1</f>
        <v/>
      </c>
    </row>
    <row r="417" outlineLevel="1" ht="14.25" customHeight="1">
      <c r="A417" s="67" t="n">
        <v>301</v>
      </c>
      <c r="B417" s="526" t="n"/>
      <c r="C417" s="393" t="n"/>
      <c r="D417" s="427" t="n"/>
      <c r="E417" s="526" t="n"/>
      <c r="F417" s="526" t="n"/>
      <c r="G417" s="527" t="n"/>
      <c r="H417" s="393" t="n"/>
      <c r="I417" s="528" t="n"/>
      <c r="J417" s="528" t="n"/>
      <c r="K417" s="528" t="n"/>
      <c r="L417" s="529" t="n"/>
      <c r="M417" s="529" t="n"/>
      <c r="N417" s="530" t="n"/>
      <c r="O417" s="531" t="n"/>
      <c r="P417" s="527" t="n"/>
      <c r="Q417" s="528" t="n"/>
      <c r="R417" s="528" t="n"/>
      <c r="S417" s="528" t="n"/>
      <c r="T417" s="543" t="n"/>
      <c r="U417" s="534" t="n"/>
      <c r="V417" s="516" t="n"/>
      <c r="W417" s="535" t="n"/>
      <c r="X417" s="536" t="n"/>
      <c r="Y417" s="519" t="n"/>
      <c r="Z417" s="683" t="n"/>
      <c r="AA417" s="684" t="n"/>
      <c r="AB417" s="684" t="n"/>
      <c r="AC417" s="684" t="n"/>
      <c r="AD417" s="685" t="n"/>
      <c r="AE417" s="686" t="n"/>
      <c r="AF417" s="684" t="n"/>
      <c r="AG417" s="687" t="n"/>
      <c r="AH417" s="687" t="n"/>
      <c r="AI417" s="684" t="n"/>
      <c r="AJ417" s="686" t="n"/>
      <c r="AK417" s="687" t="n"/>
      <c r="AL417" s="687" t="n"/>
      <c r="AM417" s="687" t="n"/>
      <c r="AN417" s="688" t="n"/>
      <c r="AO417" s="686" t="n"/>
      <c r="AP417" s="689" t="n"/>
      <c r="AQ417" s="689" t="n"/>
      <c r="AR417" s="689" t="n"/>
      <c r="AS417" s="690" t="n"/>
      <c r="AT417" s="691">
        <f>IF(AJ417&lt;&gt;"",(IF(AV417="到貨","",(AJ417-TODAY()))),"")</f>
        <v/>
      </c>
      <c r="AU417" s="692">
        <f>IF(AO417&lt;&gt;"",(AO417-AE417),"")</f>
        <v/>
      </c>
      <c r="AV417" s="86">
        <f>IF(AI417&lt;&gt;"",IF(AS417&lt;&gt;"","到貨","5次發包中"),IF(AH417&lt;&gt;"",IF(AR417&lt;&gt;"","到貨","4次發包中"),IF(AG417&lt;&gt;"",IF(AQ417&lt;&gt;"","到貨","3次發包中"),IF(AF417&lt;&gt;"",IF(AP417&lt;&gt;"","到貨","2次發包中"),IF(AE417&lt;&gt;"",IF(AO417&lt;&gt;"","到貨","發包中"),"")))))</f>
        <v/>
      </c>
      <c r="AW417" s="86">
        <f>IF(OR($AW$6=Y417),$AW$6,"")</f>
        <v/>
      </c>
      <c r="AX417" s="87">
        <f t="array" ref="AX417">IF(OR(AV417:AW417={"到貨","庫存"}),"完成","")</f>
        <v/>
      </c>
      <c r="AY417" s="92">
        <f>E417*$M$1</f>
        <v/>
      </c>
    </row>
    <row r="418" outlineLevel="1" ht="14.25" customHeight="1">
      <c r="A418" s="67" t="n">
        <v>301</v>
      </c>
      <c r="B418" s="526" t="n"/>
      <c r="C418" s="393" t="n"/>
      <c r="D418" s="427" t="n"/>
      <c r="E418" s="526" t="n"/>
      <c r="F418" s="526" t="n"/>
      <c r="G418" s="527" t="n"/>
      <c r="H418" s="393" t="n"/>
      <c r="I418" s="528" t="n"/>
      <c r="J418" s="528" t="n"/>
      <c r="K418" s="528" t="n"/>
      <c r="L418" s="529" t="n"/>
      <c r="M418" s="529" t="n"/>
      <c r="N418" s="530" t="n"/>
      <c r="O418" s="531" t="n"/>
      <c r="P418" s="527" t="n"/>
      <c r="Q418" s="528" t="n"/>
      <c r="R418" s="528" t="n"/>
      <c r="S418" s="528" t="n"/>
      <c r="T418" s="543" t="n"/>
      <c r="U418" s="534" t="n"/>
      <c r="V418" s="516" t="n"/>
      <c r="W418" s="535" t="n"/>
      <c r="X418" s="536" t="n"/>
      <c r="Y418" s="519" t="n"/>
      <c r="Z418" s="683" t="n"/>
      <c r="AA418" s="684" t="n"/>
      <c r="AB418" s="684" t="n"/>
      <c r="AC418" s="684" t="n"/>
      <c r="AD418" s="685" t="n"/>
      <c r="AE418" s="686" t="n"/>
      <c r="AF418" s="684" t="n"/>
      <c r="AG418" s="687" t="n"/>
      <c r="AH418" s="687" t="n"/>
      <c r="AI418" s="684" t="n"/>
      <c r="AJ418" s="686" t="n"/>
      <c r="AK418" s="687" t="n"/>
      <c r="AL418" s="687" t="n"/>
      <c r="AM418" s="687" t="n"/>
      <c r="AN418" s="688" t="n"/>
      <c r="AO418" s="686" t="n"/>
      <c r="AP418" s="689" t="n"/>
      <c r="AQ418" s="689" t="n"/>
      <c r="AR418" s="689" t="n"/>
      <c r="AS418" s="690" t="n"/>
      <c r="AT418" s="691">
        <f>IF(AJ418&lt;&gt;"",(IF(AV418="到貨","",(AJ418-TODAY()))),"")</f>
        <v/>
      </c>
      <c r="AU418" s="692">
        <f>IF(AO418&lt;&gt;"",(AO418-AE418),"")</f>
        <v/>
      </c>
      <c r="AV418" s="86">
        <f>IF(AI418&lt;&gt;"",IF(AS418&lt;&gt;"","到貨","5次發包中"),IF(AH418&lt;&gt;"",IF(AR418&lt;&gt;"","到貨","4次發包中"),IF(AG418&lt;&gt;"",IF(AQ418&lt;&gt;"","到貨","3次發包中"),IF(AF418&lt;&gt;"",IF(AP418&lt;&gt;"","到貨","2次發包中"),IF(AE418&lt;&gt;"",IF(AO418&lt;&gt;"","到貨","發包中"),"")))))</f>
        <v/>
      </c>
      <c r="AW418" s="86">
        <f>IF(OR($AW$6=Y418),$AW$6,"")</f>
        <v/>
      </c>
      <c r="AX418" s="87">
        <f t="array" ref="AX418">IF(OR(AV418:AW418={"到貨","庫存"}),"完成","")</f>
        <v/>
      </c>
      <c r="AY418" s="92">
        <f>E418*$M$1</f>
        <v/>
      </c>
    </row>
    <row r="419" outlineLevel="1" ht="14.25" customHeight="1">
      <c r="A419" s="67" t="n">
        <v>301</v>
      </c>
      <c r="B419" s="526" t="n"/>
      <c r="C419" s="393" t="n"/>
      <c r="D419" s="427" t="n"/>
      <c r="E419" s="526" t="n"/>
      <c r="F419" s="526" t="n"/>
      <c r="G419" s="527" t="n"/>
      <c r="H419" s="393" t="n"/>
      <c r="I419" s="528" t="n"/>
      <c r="J419" s="528" t="n"/>
      <c r="K419" s="528" t="n"/>
      <c r="L419" s="529" t="n"/>
      <c r="M419" s="529" t="n"/>
      <c r="N419" s="530" t="n"/>
      <c r="O419" s="531" t="n"/>
      <c r="P419" s="527" t="n"/>
      <c r="Q419" s="528" t="n"/>
      <c r="R419" s="528" t="n"/>
      <c r="S419" s="528" t="n"/>
      <c r="T419" s="543" t="n"/>
      <c r="U419" s="534" t="n"/>
      <c r="V419" s="516" t="n"/>
      <c r="W419" s="535" t="n"/>
      <c r="X419" s="536" t="n"/>
      <c r="Y419" s="519" t="n"/>
      <c r="Z419" s="683" t="n"/>
      <c r="AA419" s="684" t="n"/>
      <c r="AB419" s="684" t="n"/>
      <c r="AC419" s="684" t="n"/>
      <c r="AD419" s="685" t="n"/>
      <c r="AE419" s="686" t="n"/>
      <c r="AF419" s="684" t="n"/>
      <c r="AG419" s="687" t="n"/>
      <c r="AH419" s="687" t="n"/>
      <c r="AI419" s="684" t="n"/>
      <c r="AJ419" s="686" t="n"/>
      <c r="AK419" s="687" t="n"/>
      <c r="AL419" s="687" t="n"/>
      <c r="AM419" s="687" t="n"/>
      <c r="AN419" s="688" t="n"/>
      <c r="AO419" s="686" t="n"/>
      <c r="AP419" s="689" t="n"/>
      <c r="AQ419" s="689" t="n"/>
      <c r="AR419" s="689" t="n"/>
      <c r="AS419" s="690" t="n"/>
      <c r="AT419" s="691">
        <f>IF(AJ419&lt;&gt;"",(IF(AV419="到貨","",(AJ419-TODAY()))),"")</f>
        <v/>
      </c>
      <c r="AU419" s="692">
        <f>IF(AO419&lt;&gt;"",(AO419-AE419),"")</f>
        <v/>
      </c>
      <c r="AV419" s="86">
        <f>IF(AI419&lt;&gt;"",IF(AS419&lt;&gt;"","到貨","5次發包中"),IF(AH419&lt;&gt;"",IF(AR419&lt;&gt;"","到貨","4次發包中"),IF(AG419&lt;&gt;"",IF(AQ419&lt;&gt;"","到貨","3次發包中"),IF(AF419&lt;&gt;"",IF(AP419&lt;&gt;"","到貨","2次發包中"),IF(AE419&lt;&gt;"",IF(AO419&lt;&gt;"","到貨","發包中"),"")))))</f>
        <v/>
      </c>
      <c r="AW419" s="86">
        <f>IF(OR($AW$6=Y419),$AW$6,"")</f>
        <v/>
      </c>
      <c r="AX419" s="87">
        <f t="array" ref="AX419">IF(OR(AV419:AW419={"到貨","庫存"}),"完成","")</f>
        <v/>
      </c>
      <c r="AY419" s="92">
        <f>E419*$M$1</f>
        <v/>
      </c>
    </row>
    <row r="420" outlineLevel="1" ht="14.25" customHeight="1">
      <c r="A420" s="67" t="n">
        <v>301</v>
      </c>
      <c r="B420" s="526" t="n"/>
      <c r="C420" s="393" t="n"/>
      <c r="D420" s="427" t="n"/>
      <c r="E420" s="526" t="n"/>
      <c r="F420" s="526" t="n"/>
      <c r="G420" s="527" t="n"/>
      <c r="H420" s="393" t="n"/>
      <c r="I420" s="528" t="n"/>
      <c r="J420" s="528" t="n"/>
      <c r="K420" s="528" t="n"/>
      <c r="L420" s="529" t="n"/>
      <c r="M420" s="529" t="n"/>
      <c r="N420" s="530" t="n"/>
      <c r="O420" s="531" t="n"/>
      <c r="P420" s="527" t="n"/>
      <c r="Q420" s="528" t="n"/>
      <c r="R420" s="528" t="n"/>
      <c r="S420" s="528" t="n"/>
      <c r="T420" s="543" t="n"/>
      <c r="U420" s="534" t="n"/>
      <c r="V420" s="516" t="n"/>
      <c r="W420" s="535" t="n"/>
      <c r="X420" s="536" t="n"/>
      <c r="Y420" s="519" t="n"/>
      <c r="Z420" s="683" t="n"/>
      <c r="AA420" s="684" t="n"/>
      <c r="AB420" s="684" t="n"/>
      <c r="AC420" s="684" t="n"/>
      <c r="AD420" s="685" t="n"/>
      <c r="AE420" s="686" t="n"/>
      <c r="AF420" s="684" t="n"/>
      <c r="AG420" s="687" t="n"/>
      <c r="AH420" s="687" t="n"/>
      <c r="AI420" s="684" t="n"/>
      <c r="AJ420" s="686" t="n"/>
      <c r="AK420" s="687" t="n"/>
      <c r="AL420" s="687" t="n"/>
      <c r="AM420" s="687" t="n"/>
      <c r="AN420" s="688" t="n"/>
      <c r="AO420" s="686" t="n"/>
      <c r="AP420" s="689" t="n"/>
      <c r="AQ420" s="689" t="n"/>
      <c r="AR420" s="689" t="n"/>
      <c r="AS420" s="690" t="n"/>
      <c r="AT420" s="691">
        <f>IF(AJ420&lt;&gt;"",(IF(AV420="到貨","",(AJ420-TODAY()))),"")</f>
        <v/>
      </c>
      <c r="AU420" s="692">
        <f>IF(AO420&lt;&gt;"",(AO420-AE420),"")</f>
        <v/>
      </c>
      <c r="AV420" s="86">
        <f>IF(AI420&lt;&gt;"",IF(AS420&lt;&gt;"","到貨","5次發包中"),IF(AH420&lt;&gt;"",IF(AR420&lt;&gt;"","到貨","4次發包中"),IF(AG420&lt;&gt;"",IF(AQ420&lt;&gt;"","到貨","3次發包中"),IF(AF420&lt;&gt;"",IF(AP420&lt;&gt;"","到貨","2次發包中"),IF(AE420&lt;&gt;"",IF(AO420&lt;&gt;"","到貨","發包中"),"")))))</f>
        <v/>
      </c>
      <c r="AW420" s="86">
        <f>IF(OR($AW$6=Y420),$AW$6,"")</f>
        <v/>
      </c>
      <c r="AX420" s="87">
        <f t="array" ref="AX420">IF(OR(AV420:AW420={"到貨","庫存"}),"完成","")</f>
        <v/>
      </c>
      <c r="AY420" s="92">
        <f>E420*$M$1</f>
        <v/>
      </c>
    </row>
    <row r="421" outlineLevel="1" ht="14.25" customHeight="1">
      <c r="A421" s="67" t="n">
        <v>301</v>
      </c>
      <c r="B421" s="526" t="n"/>
      <c r="C421" s="393" t="n"/>
      <c r="D421" s="427" t="n"/>
      <c r="E421" s="526" t="n"/>
      <c r="F421" s="526" t="n"/>
      <c r="G421" s="527" t="n"/>
      <c r="H421" s="393" t="n"/>
      <c r="I421" s="528" t="n"/>
      <c r="J421" s="528" t="n"/>
      <c r="K421" s="528" t="n"/>
      <c r="L421" s="529" t="n"/>
      <c r="M421" s="529" t="n"/>
      <c r="N421" s="530" t="n"/>
      <c r="O421" s="531" t="n"/>
      <c r="P421" s="527" t="n"/>
      <c r="Q421" s="528" t="n"/>
      <c r="R421" s="528" t="n"/>
      <c r="S421" s="528" t="n"/>
      <c r="T421" s="543" t="n"/>
      <c r="U421" s="534" t="n"/>
      <c r="V421" s="516" t="n"/>
      <c r="W421" s="535" t="n"/>
      <c r="X421" s="536" t="n"/>
      <c r="Y421" s="519" t="n"/>
      <c r="Z421" s="683" t="n"/>
      <c r="AA421" s="684" t="n"/>
      <c r="AB421" s="684" t="n"/>
      <c r="AC421" s="684" t="n"/>
      <c r="AD421" s="685" t="n"/>
      <c r="AE421" s="686" t="n"/>
      <c r="AF421" s="684" t="n"/>
      <c r="AG421" s="687" t="n"/>
      <c r="AH421" s="687" t="n"/>
      <c r="AI421" s="684" t="n"/>
      <c r="AJ421" s="686" t="n"/>
      <c r="AK421" s="687" t="n"/>
      <c r="AL421" s="687" t="n"/>
      <c r="AM421" s="687" t="n"/>
      <c r="AN421" s="688" t="n"/>
      <c r="AO421" s="686" t="n"/>
      <c r="AP421" s="689" t="n"/>
      <c r="AQ421" s="689" t="n"/>
      <c r="AR421" s="689" t="n"/>
      <c r="AS421" s="690" t="n"/>
      <c r="AT421" s="691">
        <f>IF(AJ421&lt;&gt;"",(IF(AV421="到貨","",(AJ421-TODAY()))),"")</f>
        <v/>
      </c>
      <c r="AU421" s="692">
        <f>IF(AO421&lt;&gt;"",(AO421-AE421),"")</f>
        <v/>
      </c>
      <c r="AV421" s="86">
        <f>IF(AI421&lt;&gt;"",IF(AS421&lt;&gt;"","到貨","5次發包中"),IF(AH421&lt;&gt;"",IF(AR421&lt;&gt;"","到貨","4次發包中"),IF(AG421&lt;&gt;"",IF(AQ421&lt;&gt;"","到貨","3次發包中"),IF(AF421&lt;&gt;"",IF(AP421&lt;&gt;"","到貨","2次發包中"),IF(AE421&lt;&gt;"",IF(AO421&lt;&gt;"","到貨","發包中"),"")))))</f>
        <v/>
      </c>
      <c r="AW421" s="86">
        <f>IF(OR($AW$6=Y421),$AW$6,"")</f>
        <v/>
      </c>
      <c r="AX421" s="87">
        <f t="array" ref="AX421">IF(OR(AV421:AW421={"到貨","庫存"}),"完成","")</f>
        <v/>
      </c>
      <c r="AY421" s="92">
        <f>E421*$M$1</f>
        <v/>
      </c>
    </row>
    <row r="422" outlineLevel="1" ht="14.25" customHeight="1">
      <c r="A422" s="67" t="n">
        <v>301</v>
      </c>
      <c r="B422" s="526" t="n"/>
      <c r="C422" s="393" t="n"/>
      <c r="D422" s="427" t="n"/>
      <c r="E422" s="526" t="n"/>
      <c r="F422" s="526" t="n"/>
      <c r="G422" s="527" t="n"/>
      <c r="H422" s="393" t="n"/>
      <c r="I422" s="528" t="n"/>
      <c r="J422" s="528" t="n"/>
      <c r="K422" s="528" t="n"/>
      <c r="L422" s="529" t="n"/>
      <c r="M422" s="529" t="n"/>
      <c r="N422" s="530" t="n"/>
      <c r="O422" s="531" t="n"/>
      <c r="P422" s="527" t="n"/>
      <c r="Q422" s="528" t="n"/>
      <c r="R422" s="528" t="n"/>
      <c r="S422" s="528" t="n"/>
      <c r="T422" s="543" t="n"/>
      <c r="U422" s="534" t="n"/>
      <c r="V422" s="516" t="n"/>
      <c r="W422" s="535" t="n"/>
      <c r="X422" s="536" t="n"/>
      <c r="Y422" s="519" t="n"/>
      <c r="Z422" s="683" t="n"/>
      <c r="AA422" s="684" t="n"/>
      <c r="AB422" s="684" t="n"/>
      <c r="AC422" s="684" t="n"/>
      <c r="AD422" s="685" t="n"/>
      <c r="AE422" s="686" t="n"/>
      <c r="AF422" s="684" t="n"/>
      <c r="AG422" s="687" t="n"/>
      <c r="AH422" s="687" t="n"/>
      <c r="AI422" s="684" t="n"/>
      <c r="AJ422" s="686" t="n"/>
      <c r="AK422" s="687" t="n"/>
      <c r="AL422" s="687" t="n"/>
      <c r="AM422" s="687" t="n"/>
      <c r="AN422" s="688" t="n"/>
      <c r="AO422" s="686" t="n"/>
      <c r="AP422" s="689" t="n"/>
      <c r="AQ422" s="689" t="n"/>
      <c r="AR422" s="689" t="n"/>
      <c r="AS422" s="690" t="n"/>
      <c r="AT422" s="691">
        <f>IF(AJ422&lt;&gt;"",(IF(AV422="到貨","",(AJ422-TODAY()))),"")</f>
        <v/>
      </c>
      <c r="AU422" s="692">
        <f>IF(AO422&lt;&gt;"",(AO422-AE422),"")</f>
        <v/>
      </c>
      <c r="AV422" s="86">
        <f>IF(AI422&lt;&gt;"",IF(AS422&lt;&gt;"","到貨","5次發包中"),IF(AH422&lt;&gt;"",IF(AR422&lt;&gt;"","到貨","4次發包中"),IF(AG422&lt;&gt;"",IF(AQ422&lt;&gt;"","到貨","3次發包中"),IF(AF422&lt;&gt;"",IF(AP422&lt;&gt;"","到貨","2次發包中"),IF(AE422&lt;&gt;"",IF(AO422&lt;&gt;"","到貨","發包中"),"")))))</f>
        <v/>
      </c>
      <c r="AW422" s="86">
        <f>IF(OR($AW$6=Y422),$AW$6,"")</f>
        <v/>
      </c>
      <c r="AX422" s="87">
        <f t="array" ref="AX422">IF(OR(AV422:AW422={"到貨","庫存"}),"完成","")</f>
        <v/>
      </c>
      <c r="AY422" s="92">
        <f>E422*$M$1</f>
        <v/>
      </c>
    </row>
    <row r="423" outlineLevel="1" ht="14.25" customHeight="1">
      <c r="A423" s="67" t="n">
        <v>301</v>
      </c>
      <c r="B423" s="526" t="n"/>
      <c r="C423" s="393" t="n"/>
      <c r="D423" s="427" t="n"/>
      <c r="E423" s="526" t="n"/>
      <c r="F423" s="526" t="n"/>
      <c r="G423" s="527" t="n"/>
      <c r="H423" s="393" t="n"/>
      <c r="I423" s="528" t="n"/>
      <c r="J423" s="528" t="n"/>
      <c r="K423" s="528" t="n"/>
      <c r="L423" s="529" t="n"/>
      <c r="M423" s="529" t="n"/>
      <c r="N423" s="530" t="n"/>
      <c r="O423" s="531" t="n"/>
      <c r="P423" s="527" t="n"/>
      <c r="Q423" s="528" t="n"/>
      <c r="R423" s="528" t="n"/>
      <c r="S423" s="528" t="n"/>
      <c r="T423" s="543" t="n"/>
      <c r="U423" s="534" t="n"/>
      <c r="V423" s="516" t="n"/>
      <c r="W423" s="535" t="n"/>
      <c r="X423" s="536" t="n"/>
      <c r="Y423" s="519" t="n"/>
      <c r="Z423" s="683" t="n"/>
      <c r="AA423" s="684" t="n"/>
      <c r="AB423" s="684" t="n"/>
      <c r="AC423" s="684" t="n"/>
      <c r="AD423" s="685" t="n"/>
      <c r="AE423" s="686" t="n"/>
      <c r="AF423" s="684" t="n"/>
      <c r="AG423" s="687" t="n"/>
      <c r="AH423" s="687" t="n"/>
      <c r="AI423" s="684" t="n"/>
      <c r="AJ423" s="686" t="n"/>
      <c r="AK423" s="687" t="n"/>
      <c r="AL423" s="687" t="n"/>
      <c r="AM423" s="687" t="n"/>
      <c r="AN423" s="688" t="n"/>
      <c r="AO423" s="686" t="n"/>
      <c r="AP423" s="689" t="n"/>
      <c r="AQ423" s="689" t="n"/>
      <c r="AR423" s="689" t="n"/>
      <c r="AS423" s="690" t="n"/>
      <c r="AT423" s="691">
        <f>IF(AJ423&lt;&gt;"",(IF(AV423="到貨","",(AJ423-TODAY()))),"")</f>
        <v/>
      </c>
      <c r="AU423" s="692">
        <f>IF(AO423&lt;&gt;"",(AO423-AE423),"")</f>
        <v/>
      </c>
      <c r="AV423" s="86">
        <f>IF(AI423&lt;&gt;"",IF(AS423&lt;&gt;"","到貨","5次發包中"),IF(AH423&lt;&gt;"",IF(AR423&lt;&gt;"","到貨","4次發包中"),IF(AG423&lt;&gt;"",IF(AQ423&lt;&gt;"","到貨","3次發包中"),IF(AF423&lt;&gt;"",IF(AP423&lt;&gt;"","到貨","2次發包中"),IF(AE423&lt;&gt;"",IF(AO423&lt;&gt;"","到貨","發包中"),"")))))</f>
        <v/>
      </c>
      <c r="AW423" s="86">
        <f>IF(OR($AW$6=Y423),$AW$6,"")</f>
        <v/>
      </c>
      <c r="AX423" s="87">
        <f t="array" ref="AX423">IF(OR(AV423:AW423={"到貨","庫存"}),"完成","")</f>
        <v/>
      </c>
      <c r="AY423" s="92">
        <f>E423*$M$1</f>
        <v/>
      </c>
    </row>
    <row r="424" outlineLevel="1" ht="14.25" customHeight="1">
      <c r="A424" s="67" t="n">
        <v>301</v>
      </c>
      <c r="B424" s="526" t="n"/>
      <c r="C424" s="393" t="n"/>
      <c r="D424" s="427" t="n"/>
      <c r="E424" s="526" t="n"/>
      <c r="F424" s="526" t="n"/>
      <c r="G424" s="527" t="n"/>
      <c r="H424" s="393" t="n"/>
      <c r="I424" s="528" t="n"/>
      <c r="J424" s="528" t="n"/>
      <c r="K424" s="528" t="n"/>
      <c r="L424" s="529" t="n"/>
      <c r="M424" s="529" t="n"/>
      <c r="N424" s="530" t="n"/>
      <c r="O424" s="531" t="n"/>
      <c r="P424" s="527" t="n"/>
      <c r="Q424" s="528" t="n"/>
      <c r="R424" s="528" t="n"/>
      <c r="S424" s="528" t="n"/>
      <c r="T424" s="543" t="n"/>
      <c r="U424" s="534" t="n"/>
      <c r="V424" s="516" t="n"/>
      <c r="W424" s="535" t="n"/>
      <c r="X424" s="536" t="n"/>
      <c r="Y424" s="519" t="n"/>
      <c r="Z424" s="683" t="n"/>
      <c r="AA424" s="684" t="n"/>
      <c r="AB424" s="684" t="n"/>
      <c r="AC424" s="684" t="n"/>
      <c r="AD424" s="685" t="n"/>
      <c r="AE424" s="686" t="n"/>
      <c r="AF424" s="684" t="n"/>
      <c r="AG424" s="687" t="n"/>
      <c r="AH424" s="687" t="n"/>
      <c r="AI424" s="684" t="n"/>
      <c r="AJ424" s="686" t="n"/>
      <c r="AK424" s="687" t="n"/>
      <c r="AL424" s="687" t="n"/>
      <c r="AM424" s="687" t="n"/>
      <c r="AN424" s="688" t="n"/>
      <c r="AO424" s="686" t="n"/>
      <c r="AP424" s="689" t="n"/>
      <c r="AQ424" s="689" t="n"/>
      <c r="AR424" s="689" t="n"/>
      <c r="AS424" s="690" t="n"/>
      <c r="AT424" s="691">
        <f>IF(AJ424&lt;&gt;"",(IF(AV424="到貨","",(AJ424-TODAY()))),"")</f>
        <v/>
      </c>
      <c r="AU424" s="692">
        <f>IF(AO424&lt;&gt;"",(AO424-AE424),"")</f>
        <v/>
      </c>
      <c r="AV424" s="86">
        <f>IF(AI424&lt;&gt;"",IF(AS424&lt;&gt;"","到貨","5次發包中"),IF(AH424&lt;&gt;"",IF(AR424&lt;&gt;"","到貨","4次發包中"),IF(AG424&lt;&gt;"",IF(AQ424&lt;&gt;"","到貨","3次發包中"),IF(AF424&lt;&gt;"",IF(AP424&lt;&gt;"","到貨","2次發包中"),IF(AE424&lt;&gt;"",IF(AO424&lt;&gt;"","到貨","發包中"),"")))))</f>
        <v/>
      </c>
      <c r="AW424" s="86">
        <f>IF(OR($AW$6=Y424),$AW$6,"")</f>
        <v/>
      </c>
      <c r="AX424" s="87">
        <f t="array" ref="AX424">IF(OR(AV424:AW424={"到貨","庫存"}),"完成","")</f>
        <v/>
      </c>
      <c r="AY424" s="92">
        <f>E424*$M$1</f>
        <v/>
      </c>
    </row>
    <row r="425" outlineLevel="1" ht="14.25" customHeight="1">
      <c r="A425" s="67" t="n">
        <v>301</v>
      </c>
      <c r="B425" s="526" t="n"/>
      <c r="C425" s="393" t="n"/>
      <c r="D425" s="427" t="n"/>
      <c r="E425" s="526" t="n"/>
      <c r="F425" s="526" t="n"/>
      <c r="G425" s="527" t="n"/>
      <c r="H425" s="393" t="n"/>
      <c r="I425" s="528" t="n"/>
      <c r="J425" s="528" t="n"/>
      <c r="K425" s="528" t="n"/>
      <c r="L425" s="529" t="n"/>
      <c r="M425" s="529" t="n"/>
      <c r="N425" s="530" t="n"/>
      <c r="O425" s="531" t="n"/>
      <c r="P425" s="527" t="n"/>
      <c r="Q425" s="528" t="n"/>
      <c r="R425" s="528" t="n"/>
      <c r="S425" s="528" t="n"/>
      <c r="T425" s="543" t="n"/>
      <c r="U425" s="534" t="n"/>
      <c r="V425" s="516" t="n"/>
      <c r="W425" s="535" t="n"/>
      <c r="X425" s="536" t="n"/>
      <c r="Y425" s="519" t="n"/>
      <c r="Z425" s="683" t="n"/>
      <c r="AA425" s="684" t="n"/>
      <c r="AB425" s="684" t="n"/>
      <c r="AC425" s="684" t="n"/>
      <c r="AD425" s="685" t="n"/>
      <c r="AE425" s="686" t="n"/>
      <c r="AF425" s="684" t="n"/>
      <c r="AG425" s="687" t="n"/>
      <c r="AH425" s="687" t="n"/>
      <c r="AI425" s="684" t="n"/>
      <c r="AJ425" s="686" t="n"/>
      <c r="AK425" s="687" t="n"/>
      <c r="AL425" s="687" t="n"/>
      <c r="AM425" s="687" t="n"/>
      <c r="AN425" s="688" t="n"/>
      <c r="AO425" s="686" t="n"/>
      <c r="AP425" s="689" t="n"/>
      <c r="AQ425" s="689" t="n"/>
      <c r="AR425" s="689" t="n"/>
      <c r="AS425" s="690" t="n"/>
      <c r="AT425" s="691">
        <f>IF(AJ425&lt;&gt;"",(IF(AV425="到貨","",(AJ425-TODAY()))),"")</f>
        <v/>
      </c>
      <c r="AU425" s="692">
        <f>IF(AO425&lt;&gt;"",(AO425-AE425),"")</f>
        <v/>
      </c>
      <c r="AV425" s="86">
        <f>IF(AI425&lt;&gt;"",IF(AS425&lt;&gt;"","到貨","5次發包中"),IF(AH425&lt;&gt;"",IF(AR425&lt;&gt;"","到貨","4次發包中"),IF(AG425&lt;&gt;"",IF(AQ425&lt;&gt;"","到貨","3次發包中"),IF(AF425&lt;&gt;"",IF(AP425&lt;&gt;"","到貨","2次發包中"),IF(AE425&lt;&gt;"",IF(AO425&lt;&gt;"","到貨","發包中"),"")))))</f>
        <v/>
      </c>
      <c r="AW425" s="86">
        <f>IF(OR($AW$6=Y425),$AW$6,"")</f>
        <v/>
      </c>
      <c r="AX425" s="87">
        <f t="array" ref="AX425">IF(OR(AV425:AW425={"到貨","庫存"}),"完成","")</f>
        <v/>
      </c>
      <c r="AY425" s="92">
        <f>E425*$M$1</f>
        <v/>
      </c>
    </row>
    <row r="426" outlineLevel="1" ht="14.25" customHeight="1">
      <c r="A426" s="67" t="n">
        <v>301</v>
      </c>
      <c r="B426" s="526" t="n"/>
      <c r="C426" s="393" t="n"/>
      <c r="D426" s="427" t="n"/>
      <c r="E426" s="526" t="n"/>
      <c r="F426" s="526" t="n"/>
      <c r="G426" s="527" t="n"/>
      <c r="H426" s="393" t="n"/>
      <c r="I426" s="528" t="n"/>
      <c r="J426" s="528" t="n"/>
      <c r="K426" s="528" t="n"/>
      <c r="L426" s="529" t="n"/>
      <c r="M426" s="529" t="n"/>
      <c r="N426" s="530" t="n"/>
      <c r="O426" s="531" t="n"/>
      <c r="P426" s="527" t="n"/>
      <c r="Q426" s="528" t="n"/>
      <c r="R426" s="528" t="n"/>
      <c r="S426" s="528" t="n"/>
      <c r="T426" s="543" t="n"/>
      <c r="U426" s="534" t="n"/>
      <c r="V426" s="516" t="n"/>
      <c r="W426" s="535" t="n"/>
      <c r="X426" s="536" t="n"/>
      <c r="Y426" s="519" t="n"/>
      <c r="Z426" s="683" t="n"/>
      <c r="AA426" s="684" t="n"/>
      <c r="AB426" s="684" t="n"/>
      <c r="AC426" s="684" t="n"/>
      <c r="AD426" s="685" t="n"/>
      <c r="AE426" s="686" t="n"/>
      <c r="AF426" s="684" t="n"/>
      <c r="AG426" s="687" t="n"/>
      <c r="AH426" s="687" t="n"/>
      <c r="AI426" s="684" t="n"/>
      <c r="AJ426" s="686" t="n"/>
      <c r="AK426" s="687" t="n"/>
      <c r="AL426" s="687" t="n"/>
      <c r="AM426" s="687" t="n"/>
      <c r="AN426" s="688" t="n"/>
      <c r="AO426" s="686" t="n"/>
      <c r="AP426" s="689" t="n"/>
      <c r="AQ426" s="689" t="n"/>
      <c r="AR426" s="689" t="n"/>
      <c r="AS426" s="690" t="n"/>
      <c r="AT426" s="691">
        <f>IF(AJ426&lt;&gt;"",(IF(AV426="到貨","",(AJ426-TODAY()))),"")</f>
        <v/>
      </c>
      <c r="AU426" s="692">
        <f>IF(AO426&lt;&gt;"",(AO426-AE426),"")</f>
        <v/>
      </c>
      <c r="AV426" s="86">
        <f>IF(AI426&lt;&gt;"",IF(AS426&lt;&gt;"","到貨","5次發包中"),IF(AH426&lt;&gt;"",IF(AR426&lt;&gt;"","到貨","4次發包中"),IF(AG426&lt;&gt;"",IF(AQ426&lt;&gt;"","到貨","3次發包中"),IF(AF426&lt;&gt;"",IF(AP426&lt;&gt;"","到貨","2次發包中"),IF(AE426&lt;&gt;"",IF(AO426&lt;&gt;"","到貨","發包中"),"")))))</f>
        <v/>
      </c>
      <c r="AW426" s="86">
        <f>IF(OR($AW$6=Y426),$AW$6,"")</f>
        <v/>
      </c>
      <c r="AX426" s="87">
        <f t="array" ref="AX426">IF(OR(AV426:AW426={"到貨","庫存"}),"完成","")</f>
        <v/>
      </c>
      <c r="AY426" s="92">
        <f>E426*$M$1</f>
        <v/>
      </c>
    </row>
    <row r="427" outlineLevel="1" ht="14.25" customHeight="1">
      <c r="A427" s="67" t="n">
        <v>301</v>
      </c>
      <c r="B427" s="526" t="n"/>
      <c r="C427" s="393" t="n"/>
      <c r="D427" s="427" t="n"/>
      <c r="E427" s="526" t="n"/>
      <c r="F427" s="526" t="n"/>
      <c r="G427" s="527" t="n"/>
      <c r="H427" s="393" t="n"/>
      <c r="I427" s="528" t="n"/>
      <c r="J427" s="528" t="n"/>
      <c r="K427" s="528" t="n"/>
      <c r="L427" s="529" t="n"/>
      <c r="M427" s="529" t="n"/>
      <c r="N427" s="530" t="n"/>
      <c r="O427" s="531" t="n"/>
      <c r="P427" s="527" t="n"/>
      <c r="Q427" s="528" t="n"/>
      <c r="R427" s="528" t="n"/>
      <c r="S427" s="528" t="n"/>
      <c r="T427" s="543" t="n"/>
      <c r="U427" s="534" t="n"/>
      <c r="V427" s="516" t="n"/>
      <c r="W427" s="535" t="n"/>
      <c r="X427" s="536" t="n"/>
      <c r="Y427" s="519" t="n"/>
      <c r="Z427" s="683" t="n"/>
      <c r="AA427" s="684" t="n"/>
      <c r="AB427" s="684" t="n"/>
      <c r="AC427" s="684" t="n"/>
      <c r="AD427" s="685" t="n"/>
      <c r="AE427" s="686" t="n"/>
      <c r="AF427" s="684" t="n"/>
      <c r="AG427" s="687" t="n"/>
      <c r="AH427" s="687" t="n"/>
      <c r="AI427" s="684" t="n"/>
      <c r="AJ427" s="686" t="n"/>
      <c r="AK427" s="687" t="n"/>
      <c r="AL427" s="687" t="n"/>
      <c r="AM427" s="687" t="n"/>
      <c r="AN427" s="688" t="n"/>
      <c r="AO427" s="686" t="n"/>
      <c r="AP427" s="689" t="n"/>
      <c r="AQ427" s="689" t="n"/>
      <c r="AR427" s="689" t="n"/>
      <c r="AS427" s="690" t="n"/>
      <c r="AT427" s="691">
        <f>IF(AJ427&lt;&gt;"",(IF(AV427="到貨","",(AJ427-TODAY()))),"")</f>
        <v/>
      </c>
      <c r="AU427" s="692">
        <f>IF(AO427&lt;&gt;"",(AO427-AE427),"")</f>
        <v/>
      </c>
      <c r="AV427" s="86">
        <f>IF(AI427&lt;&gt;"",IF(AS427&lt;&gt;"","到貨","5次發包中"),IF(AH427&lt;&gt;"",IF(AR427&lt;&gt;"","到貨","4次發包中"),IF(AG427&lt;&gt;"",IF(AQ427&lt;&gt;"","到貨","3次發包中"),IF(AF427&lt;&gt;"",IF(AP427&lt;&gt;"","到貨","2次發包中"),IF(AE427&lt;&gt;"",IF(AO427&lt;&gt;"","到貨","發包中"),"")))))</f>
        <v/>
      </c>
      <c r="AW427" s="86">
        <f>IF(OR($AW$6=Y427),$AW$6,"")</f>
        <v/>
      </c>
      <c r="AX427" s="87">
        <f t="array" ref="AX427">IF(OR(AV427:AW427={"到貨","庫存"}),"完成","")</f>
        <v/>
      </c>
      <c r="AY427" s="92">
        <f>E427*$M$1</f>
        <v/>
      </c>
    </row>
    <row r="428" outlineLevel="1" ht="14.25" customHeight="1">
      <c r="A428" s="67" t="n">
        <v>301</v>
      </c>
      <c r="B428" s="526" t="n"/>
      <c r="C428" s="393" t="n"/>
      <c r="D428" s="427" t="n"/>
      <c r="E428" s="526" t="n"/>
      <c r="F428" s="526" t="n"/>
      <c r="G428" s="527" t="n"/>
      <c r="H428" s="393" t="n"/>
      <c r="I428" s="528" t="n"/>
      <c r="J428" s="528" t="n"/>
      <c r="K428" s="528" t="n"/>
      <c r="L428" s="529" t="n"/>
      <c r="M428" s="529" t="n"/>
      <c r="N428" s="530" t="n"/>
      <c r="O428" s="531" t="n"/>
      <c r="P428" s="527" t="n"/>
      <c r="Q428" s="528" t="n"/>
      <c r="R428" s="528" t="n"/>
      <c r="S428" s="528" t="n"/>
      <c r="T428" s="543" t="n"/>
      <c r="U428" s="534" t="n"/>
      <c r="V428" s="516" t="n"/>
      <c r="W428" s="535" t="n"/>
      <c r="X428" s="536" t="n"/>
      <c r="Y428" s="519" t="n"/>
      <c r="Z428" s="683" t="n"/>
      <c r="AA428" s="684" t="n"/>
      <c r="AB428" s="684" t="n"/>
      <c r="AC428" s="684" t="n"/>
      <c r="AD428" s="685" t="n"/>
      <c r="AE428" s="686" t="n"/>
      <c r="AF428" s="684" t="n"/>
      <c r="AG428" s="687" t="n"/>
      <c r="AH428" s="687" t="n"/>
      <c r="AI428" s="684" t="n"/>
      <c r="AJ428" s="686" t="n"/>
      <c r="AK428" s="687" t="n"/>
      <c r="AL428" s="687" t="n"/>
      <c r="AM428" s="687" t="n"/>
      <c r="AN428" s="688" t="n"/>
      <c r="AO428" s="686" t="n"/>
      <c r="AP428" s="689" t="n"/>
      <c r="AQ428" s="689" t="n"/>
      <c r="AR428" s="689" t="n"/>
      <c r="AS428" s="690" t="n"/>
      <c r="AT428" s="691">
        <f>IF(AJ428&lt;&gt;"",(IF(AV428="到貨","",(AJ428-TODAY()))),"")</f>
        <v/>
      </c>
      <c r="AU428" s="692">
        <f>IF(AO428&lt;&gt;"",(AO428-AE428),"")</f>
        <v/>
      </c>
      <c r="AV428" s="86">
        <f>IF(AI428&lt;&gt;"",IF(AS428&lt;&gt;"","到貨","5次發包中"),IF(AH428&lt;&gt;"",IF(AR428&lt;&gt;"","到貨","4次發包中"),IF(AG428&lt;&gt;"",IF(AQ428&lt;&gt;"","到貨","3次發包中"),IF(AF428&lt;&gt;"",IF(AP428&lt;&gt;"","到貨","2次發包中"),IF(AE428&lt;&gt;"",IF(AO428&lt;&gt;"","到貨","發包中"),"")))))</f>
        <v/>
      </c>
      <c r="AW428" s="86">
        <f>IF(OR($AW$6=Y428),$AW$6,"")</f>
        <v/>
      </c>
      <c r="AX428" s="87">
        <f t="array" ref="AX428">IF(OR(AV428:AW428={"到貨","庫存"}),"完成","")</f>
        <v/>
      </c>
      <c r="AY428" s="92">
        <f>E428*$M$1</f>
        <v/>
      </c>
    </row>
    <row r="429" outlineLevel="1" ht="14.25" customHeight="1">
      <c r="A429" s="67" t="n">
        <v>301</v>
      </c>
      <c r="B429" s="526" t="n"/>
      <c r="C429" s="393" t="n"/>
      <c r="D429" s="427" t="n"/>
      <c r="E429" s="526" t="n"/>
      <c r="F429" s="526" t="n"/>
      <c r="G429" s="527" t="n"/>
      <c r="H429" s="393" t="n"/>
      <c r="I429" s="528" t="n"/>
      <c r="J429" s="528" t="n"/>
      <c r="K429" s="528" t="n"/>
      <c r="L429" s="529" t="n"/>
      <c r="M429" s="529" t="n"/>
      <c r="N429" s="530" t="n"/>
      <c r="O429" s="531" t="n"/>
      <c r="P429" s="527" t="n"/>
      <c r="Q429" s="528" t="n"/>
      <c r="R429" s="528" t="n"/>
      <c r="S429" s="528" t="n"/>
      <c r="T429" s="543" t="n"/>
      <c r="U429" s="534" t="n"/>
      <c r="V429" s="516" t="n"/>
      <c r="W429" s="535" t="n"/>
      <c r="X429" s="536" t="n"/>
      <c r="Y429" s="519" t="n"/>
      <c r="Z429" s="683" t="n"/>
      <c r="AA429" s="684" t="n"/>
      <c r="AB429" s="684" t="n"/>
      <c r="AC429" s="684" t="n"/>
      <c r="AD429" s="685" t="n"/>
      <c r="AE429" s="686" t="n"/>
      <c r="AF429" s="684" t="n"/>
      <c r="AG429" s="687" t="n"/>
      <c r="AH429" s="687" t="n"/>
      <c r="AI429" s="684" t="n"/>
      <c r="AJ429" s="686" t="n"/>
      <c r="AK429" s="687" t="n"/>
      <c r="AL429" s="687" t="n"/>
      <c r="AM429" s="687" t="n"/>
      <c r="AN429" s="688" t="n"/>
      <c r="AO429" s="686" t="n"/>
      <c r="AP429" s="689" t="n"/>
      <c r="AQ429" s="689" t="n"/>
      <c r="AR429" s="689" t="n"/>
      <c r="AS429" s="690" t="n"/>
      <c r="AT429" s="691">
        <f>IF(AJ429&lt;&gt;"",(IF(AV429="到貨","",(AJ429-TODAY()))),"")</f>
        <v/>
      </c>
      <c r="AU429" s="692">
        <f>IF(AO429&lt;&gt;"",(AO429-AE429),"")</f>
        <v/>
      </c>
      <c r="AV429" s="86">
        <f>IF(AI429&lt;&gt;"",IF(AS429&lt;&gt;"","到貨","5次發包中"),IF(AH429&lt;&gt;"",IF(AR429&lt;&gt;"","到貨","4次發包中"),IF(AG429&lt;&gt;"",IF(AQ429&lt;&gt;"","到貨","3次發包中"),IF(AF429&lt;&gt;"",IF(AP429&lt;&gt;"","到貨","2次發包中"),IF(AE429&lt;&gt;"",IF(AO429&lt;&gt;"","到貨","發包中"),"")))))</f>
        <v/>
      </c>
      <c r="AW429" s="86">
        <f>IF(OR($AW$6=Y429),$AW$6,"")</f>
        <v/>
      </c>
      <c r="AX429" s="87">
        <f t="array" ref="AX429">IF(OR(AV429:AW429={"到貨","庫存"}),"完成","")</f>
        <v/>
      </c>
      <c r="AY429" s="92">
        <f>E429*$M$1</f>
        <v/>
      </c>
    </row>
    <row r="430" outlineLevel="1" ht="14.25" customHeight="1">
      <c r="A430" s="67" t="n">
        <v>301</v>
      </c>
      <c r="B430" s="526" t="n"/>
      <c r="C430" s="393" t="n"/>
      <c r="D430" s="427" t="n"/>
      <c r="E430" s="526" t="n"/>
      <c r="F430" s="526" t="n"/>
      <c r="G430" s="527" t="n"/>
      <c r="H430" s="393" t="n"/>
      <c r="I430" s="528" t="n"/>
      <c r="J430" s="528" t="n"/>
      <c r="K430" s="528" t="n"/>
      <c r="L430" s="529" t="n"/>
      <c r="M430" s="529" t="n"/>
      <c r="N430" s="530" t="n"/>
      <c r="O430" s="531" t="n"/>
      <c r="P430" s="527" t="n"/>
      <c r="Q430" s="528" t="n"/>
      <c r="R430" s="528" t="n"/>
      <c r="S430" s="528" t="n"/>
      <c r="T430" s="543" t="n"/>
      <c r="U430" s="534" t="n"/>
      <c r="V430" s="516" t="n"/>
      <c r="W430" s="535" t="n"/>
      <c r="X430" s="536" t="n"/>
      <c r="Y430" s="519" t="n"/>
      <c r="Z430" s="683" t="n"/>
      <c r="AA430" s="684" t="n"/>
      <c r="AB430" s="684" t="n"/>
      <c r="AC430" s="684" t="n"/>
      <c r="AD430" s="685" t="n"/>
      <c r="AE430" s="686" t="n"/>
      <c r="AF430" s="684" t="n"/>
      <c r="AG430" s="687" t="n"/>
      <c r="AH430" s="687" t="n"/>
      <c r="AI430" s="684" t="n"/>
      <c r="AJ430" s="686" t="n"/>
      <c r="AK430" s="687" t="n"/>
      <c r="AL430" s="687" t="n"/>
      <c r="AM430" s="687" t="n"/>
      <c r="AN430" s="688" t="n"/>
      <c r="AO430" s="686" t="n"/>
      <c r="AP430" s="689" t="n"/>
      <c r="AQ430" s="689" t="n"/>
      <c r="AR430" s="689" t="n"/>
      <c r="AS430" s="690" t="n"/>
      <c r="AT430" s="691">
        <f>IF(AJ430&lt;&gt;"",(IF(AV430="到貨","",(AJ430-TODAY()))),"")</f>
        <v/>
      </c>
      <c r="AU430" s="692">
        <f>IF(AO430&lt;&gt;"",(AO430-AE430),"")</f>
        <v/>
      </c>
      <c r="AV430" s="86">
        <f>IF(AI430&lt;&gt;"",IF(AS430&lt;&gt;"","到貨","5次發包中"),IF(AH430&lt;&gt;"",IF(AR430&lt;&gt;"","到貨","4次發包中"),IF(AG430&lt;&gt;"",IF(AQ430&lt;&gt;"","到貨","3次發包中"),IF(AF430&lt;&gt;"",IF(AP430&lt;&gt;"","到貨","2次發包中"),IF(AE430&lt;&gt;"",IF(AO430&lt;&gt;"","到貨","發包中"),"")))))</f>
        <v/>
      </c>
      <c r="AW430" s="86">
        <f>IF(OR($AW$6=Y430),$AW$6,"")</f>
        <v/>
      </c>
      <c r="AX430" s="87">
        <f t="array" ref="AX430">IF(OR(AV430:AW430={"到貨","庫存"}),"完成","")</f>
        <v/>
      </c>
      <c r="AY430" s="92">
        <f>E430*$M$1</f>
        <v/>
      </c>
    </row>
    <row r="431" outlineLevel="1" ht="14.25" customHeight="1">
      <c r="A431" s="67" t="n">
        <v>301</v>
      </c>
      <c r="B431" s="526" t="n"/>
      <c r="C431" s="393" t="n"/>
      <c r="D431" s="427" t="n"/>
      <c r="E431" s="526" t="n"/>
      <c r="F431" s="526" t="n"/>
      <c r="G431" s="527" t="n"/>
      <c r="H431" s="393" t="n"/>
      <c r="I431" s="528" t="n"/>
      <c r="J431" s="528" t="n"/>
      <c r="K431" s="528" t="n"/>
      <c r="L431" s="529" t="n"/>
      <c r="M431" s="529" t="n"/>
      <c r="N431" s="530" t="n"/>
      <c r="O431" s="531" t="n"/>
      <c r="P431" s="527" t="n"/>
      <c r="Q431" s="528" t="n"/>
      <c r="R431" s="528" t="n"/>
      <c r="S431" s="528" t="n"/>
      <c r="T431" s="543" t="n"/>
      <c r="U431" s="534" t="n"/>
      <c r="V431" s="516" t="n"/>
      <c r="W431" s="535" t="n"/>
      <c r="X431" s="536" t="n"/>
      <c r="Y431" s="519" t="n"/>
      <c r="Z431" s="683" t="n"/>
      <c r="AA431" s="684" t="n"/>
      <c r="AB431" s="684" t="n"/>
      <c r="AC431" s="684" t="n"/>
      <c r="AD431" s="685" t="n"/>
      <c r="AE431" s="686" t="n"/>
      <c r="AF431" s="684" t="n"/>
      <c r="AG431" s="687" t="n"/>
      <c r="AH431" s="687" t="n"/>
      <c r="AI431" s="684" t="n"/>
      <c r="AJ431" s="686" t="n"/>
      <c r="AK431" s="687" t="n"/>
      <c r="AL431" s="687" t="n"/>
      <c r="AM431" s="687" t="n"/>
      <c r="AN431" s="688" t="n"/>
      <c r="AO431" s="686" t="n"/>
      <c r="AP431" s="689" t="n"/>
      <c r="AQ431" s="689" t="n"/>
      <c r="AR431" s="689" t="n"/>
      <c r="AS431" s="690" t="n"/>
      <c r="AT431" s="691">
        <f>IF(AJ431&lt;&gt;"",(IF(AV431="到貨","",(AJ431-TODAY()))),"")</f>
        <v/>
      </c>
      <c r="AU431" s="692">
        <f>IF(AO431&lt;&gt;"",(AO431-AE431),"")</f>
        <v/>
      </c>
      <c r="AV431" s="86">
        <f>IF(AI431&lt;&gt;"",IF(AS431&lt;&gt;"","到貨","5次發包中"),IF(AH431&lt;&gt;"",IF(AR431&lt;&gt;"","到貨","4次發包中"),IF(AG431&lt;&gt;"",IF(AQ431&lt;&gt;"","到貨","3次發包中"),IF(AF431&lt;&gt;"",IF(AP431&lt;&gt;"","到貨","2次發包中"),IF(AE431&lt;&gt;"",IF(AO431&lt;&gt;"","到貨","發包中"),"")))))</f>
        <v/>
      </c>
      <c r="AW431" s="86">
        <f>IF(OR($AW$6=Y431),$AW$6,"")</f>
        <v/>
      </c>
      <c r="AX431" s="87">
        <f t="array" ref="AX431">IF(OR(AV431:AW431={"到貨","庫存"}),"完成","")</f>
        <v/>
      </c>
      <c r="AY431" s="92">
        <f>E431*$M$1</f>
        <v/>
      </c>
    </row>
    <row r="432" outlineLevel="1" ht="14.25" customHeight="1">
      <c r="A432" s="67" t="n">
        <v>301</v>
      </c>
      <c r="B432" s="526" t="n"/>
      <c r="C432" s="393" t="n"/>
      <c r="D432" s="427" t="n"/>
      <c r="E432" s="526" t="n"/>
      <c r="F432" s="526" t="n"/>
      <c r="G432" s="527" t="n"/>
      <c r="H432" s="393" t="n"/>
      <c r="I432" s="528" t="n"/>
      <c r="J432" s="528" t="n"/>
      <c r="K432" s="528" t="n"/>
      <c r="L432" s="529" t="n"/>
      <c r="M432" s="529" t="n"/>
      <c r="N432" s="530" t="n"/>
      <c r="O432" s="531" t="n"/>
      <c r="P432" s="527" t="n"/>
      <c r="Q432" s="528" t="n"/>
      <c r="R432" s="528" t="n"/>
      <c r="S432" s="528" t="n"/>
      <c r="T432" s="543" t="n"/>
      <c r="U432" s="534" t="n"/>
      <c r="V432" s="516" t="n"/>
      <c r="W432" s="535" t="n"/>
      <c r="X432" s="536" t="n"/>
      <c r="Y432" s="519" t="n"/>
      <c r="Z432" s="683" t="n"/>
      <c r="AA432" s="684" t="n"/>
      <c r="AB432" s="684" t="n"/>
      <c r="AC432" s="684" t="n"/>
      <c r="AD432" s="685" t="n"/>
      <c r="AE432" s="686" t="n"/>
      <c r="AF432" s="684" t="n"/>
      <c r="AG432" s="687" t="n"/>
      <c r="AH432" s="687" t="n"/>
      <c r="AI432" s="684" t="n"/>
      <c r="AJ432" s="686" t="n"/>
      <c r="AK432" s="687" t="n"/>
      <c r="AL432" s="687" t="n"/>
      <c r="AM432" s="687" t="n"/>
      <c r="AN432" s="688" t="n"/>
      <c r="AO432" s="686" t="n"/>
      <c r="AP432" s="689" t="n"/>
      <c r="AQ432" s="689" t="n"/>
      <c r="AR432" s="689" t="n"/>
      <c r="AS432" s="690" t="n"/>
      <c r="AT432" s="691">
        <f>IF(AJ432&lt;&gt;"",(IF(AV432="到貨","",(AJ432-TODAY()))),"")</f>
        <v/>
      </c>
      <c r="AU432" s="692">
        <f>IF(AO432&lt;&gt;"",(AO432-AE432),"")</f>
        <v/>
      </c>
      <c r="AV432" s="86">
        <f>IF(AI432&lt;&gt;"",IF(AS432&lt;&gt;"","到貨","5次發包中"),IF(AH432&lt;&gt;"",IF(AR432&lt;&gt;"","到貨","4次發包中"),IF(AG432&lt;&gt;"",IF(AQ432&lt;&gt;"","到貨","3次發包中"),IF(AF432&lt;&gt;"",IF(AP432&lt;&gt;"","到貨","2次發包中"),IF(AE432&lt;&gt;"",IF(AO432&lt;&gt;"","到貨","發包中"),"")))))</f>
        <v/>
      </c>
      <c r="AW432" s="86">
        <f>IF(OR($AW$6=Y432),$AW$6,"")</f>
        <v/>
      </c>
      <c r="AX432" s="87">
        <f t="array" ref="AX432">IF(OR(AV432:AW432={"到貨","庫存"}),"完成","")</f>
        <v/>
      </c>
      <c r="AY432" s="92">
        <f>E432*$M$1</f>
        <v/>
      </c>
    </row>
    <row r="433" outlineLevel="1" ht="14.25" customHeight="1">
      <c r="A433" s="67" t="n">
        <v>301</v>
      </c>
      <c r="B433" s="526" t="n"/>
      <c r="C433" s="393" t="n"/>
      <c r="D433" s="427" t="n"/>
      <c r="E433" s="526" t="n"/>
      <c r="F433" s="526" t="n"/>
      <c r="G433" s="527" t="n"/>
      <c r="H433" s="393" t="n"/>
      <c r="I433" s="528" t="n"/>
      <c r="J433" s="528" t="n"/>
      <c r="K433" s="528" t="n"/>
      <c r="L433" s="529" t="n"/>
      <c r="M433" s="529" t="n"/>
      <c r="N433" s="530" t="n"/>
      <c r="O433" s="531" t="n"/>
      <c r="P433" s="527" t="n"/>
      <c r="Q433" s="528" t="n"/>
      <c r="R433" s="528" t="n"/>
      <c r="S433" s="528" t="n"/>
      <c r="T433" s="543" t="n"/>
      <c r="U433" s="534" t="n"/>
      <c r="V433" s="516" t="n"/>
      <c r="W433" s="535" t="n"/>
      <c r="X433" s="536" t="n"/>
      <c r="Y433" s="519" t="n"/>
      <c r="Z433" s="683" t="n"/>
      <c r="AA433" s="684" t="n"/>
      <c r="AB433" s="684" t="n"/>
      <c r="AC433" s="684" t="n"/>
      <c r="AD433" s="685" t="n"/>
      <c r="AE433" s="686" t="n"/>
      <c r="AF433" s="684" t="n"/>
      <c r="AG433" s="687" t="n"/>
      <c r="AH433" s="687" t="n"/>
      <c r="AI433" s="684" t="n"/>
      <c r="AJ433" s="686" t="n"/>
      <c r="AK433" s="687" t="n"/>
      <c r="AL433" s="687" t="n"/>
      <c r="AM433" s="687" t="n"/>
      <c r="AN433" s="688" t="n"/>
      <c r="AO433" s="686" t="n"/>
      <c r="AP433" s="689" t="n"/>
      <c r="AQ433" s="689" t="n"/>
      <c r="AR433" s="689" t="n"/>
      <c r="AS433" s="690" t="n"/>
      <c r="AT433" s="691">
        <f>IF(AJ433&lt;&gt;"",(IF(AV433="到貨","",(AJ433-TODAY()))),"")</f>
        <v/>
      </c>
      <c r="AU433" s="692">
        <f>IF(AO433&lt;&gt;"",(AO433-AE433),"")</f>
        <v/>
      </c>
      <c r="AV433" s="86">
        <f>IF(AI433&lt;&gt;"",IF(AS433&lt;&gt;"","到貨","5次發包中"),IF(AH433&lt;&gt;"",IF(AR433&lt;&gt;"","到貨","4次發包中"),IF(AG433&lt;&gt;"",IF(AQ433&lt;&gt;"","到貨","3次發包中"),IF(AF433&lt;&gt;"",IF(AP433&lt;&gt;"","到貨","2次發包中"),IF(AE433&lt;&gt;"",IF(AO433&lt;&gt;"","到貨","發包中"),"")))))</f>
        <v/>
      </c>
      <c r="AW433" s="86">
        <f>IF(OR($AW$6=Y433),$AW$6,"")</f>
        <v/>
      </c>
      <c r="AX433" s="87">
        <f t="array" ref="AX433">IF(OR(AV433:AW433={"到貨","庫存"}),"完成","")</f>
        <v/>
      </c>
      <c r="AY433" s="92">
        <f>E433*$M$1</f>
        <v/>
      </c>
    </row>
    <row r="434" outlineLevel="1" ht="14.25" customHeight="1">
      <c r="A434" s="67" t="n">
        <v>301</v>
      </c>
      <c r="B434" s="526" t="n"/>
      <c r="C434" s="393" t="n"/>
      <c r="D434" s="427" t="n"/>
      <c r="E434" s="526" t="n"/>
      <c r="F434" s="526" t="n"/>
      <c r="G434" s="527" t="n"/>
      <c r="H434" s="393" t="n"/>
      <c r="I434" s="528" t="n"/>
      <c r="J434" s="528" t="n"/>
      <c r="K434" s="528" t="n"/>
      <c r="L434" s="529" t="n"/>
      <c r="M434" s="529" t="n"/>
      <c r="N434" s="530" t="n"/>
      <c r="O434" s="531" t="n"/>
      <c r="P434" s="527" t="n"/>
      <c r="Q434" s="528" t="n"/>
      <c r="R434" s="528" t="n"/>
      <c r="S434" s="528" t="n"/>
      <c r="T434" s="543" t="n"/>
      <c r="U434" s="534" t="n"/>
      <c r="V434" s="516" t="n"/>
      <c r="W434" s="535" t="n"/>
      <c r="X434" s="536" t="n"/>
      <c r="Y434" s="519" t="n"/>
      <c r="Z434" s="683" t="n"/>
      <c r="AA434" s="684" t="n"/>
      <c r="AB434" s="684" t="n"/>
      <c r="AC434" s="684" t="n"/>
      <c r="AD434" s="685" t="n"/>
      <c r="AE434" s="686" t="n"/>
      <c r="AF434" s="684" t="n"/>
      <c r="AG434" s="687" t="n"/>
      <c r="AH434" s="687" t="n"/>
      <c r="AI434" s="684" t="n"/>
      <c r="AJ434" s="686" t="n"/>
      <c r="AK434" s="687" t="n"/>
      <c r="AL434" s="687" t="n"/>
      <c r="AM434" s="687" t="n"/>
      <c r="AN434" s="688" t="n"/>
      <c r="AO434" s="686" t="n"/>
      <c r="AP434" s="689" t="n"/>
      <c r="AQ434" s="689" t="n"/>
      <c r="AR434" s="689" t="n"/>
      <c r="AS434" s="690" t="n"/>
      <c r="AT434" s="691">
        <f>IF(AJ434&lt;&gt;"",(IF(AV434="到貨","",(AJ434-TODAY()))),"")</f>
        <v/>
      </c>
      <c r="AU434" s="692">
        <f>IF(AO434&lt;&gt;"",(AO434-AE434),"")</f>
        <v/>
      </c>
      <c r="AV434" s="86">
        <f>IF(AI434&lt;&gt;"",IF(AS434&lt;&gt;"","到貨","5次發包中"),IF(AH434&lt;&gt;"",IF(AR434&lt;&gt;"","到貨","4次發包中"),IF(AG434&lt;&gt;"",IF(AQ434&lt;&gt;"","到貨","3次發包中"),IF(AF434&lt;&gt;"",IF(AP434&lt;&gt;"","到貨","2次發包中"),IF(AE434&lt;&gt;"",IF(AO434&lt;&gt;"","到貨","發包中"),"")))))</f>
        <v/>
      </c>
      <c r="AW434" s="86">
        <f>IF(OR($AW$6=Y434),$AW$6,"")</f>
        <v/>
      </c>
      <c r="AX434" s="87">
        <f t="array" ref="AX434">IF(OR(AV434:AW434={"到貨","庫存"}),"完成","")</f>
        <v/>
      </c>
      <c r="AY434" s="92">
        <f>E434*$M$1</f>
        <v/>
      </c>
    </row>
    <row r="435" outlineLevel="1" ht="14.25" customHeight="1">
      <c r="A435" s="67" t="n">
        <v>301</v>
      </c>
      <c r="B435" s="526" t="n"/>
      <c r="C435" s="393" t="n"/>
      <c r="D435" s="427" t="n"/>
      <c r="E435" s="526" t="n"/>
      <c r="F435" s="526" t="n"/>
      <c r="G435" s="527" t="n"/>
      <c r="H435" s="393" t="n"/>
      <c r="I435" s="528" t="n"/>
      <c r="J435" s="528" t="n"/>
      <c r="K435" s="528" t="n"/>
      <c r="L435" s="529" t="n"/>
      <c r="M435" s="529" t="n"/>
      <c r="N435" s="530" t="n"/>
      <c r="O435" s="531" t="n"/>
      <c r="P435" s="527" t="n"/>
      <c r="Q435" s="528" t="n"/>
      <c r="R435" s="528" t="n"/>
      <c r="S435" s="528" t="n"/>
      <c r="T435" s="543" t="n"/>
      <c r="U435" s="534" t="n"/>
      <c r="V435" s="516" t="n"/>
      <c r="W435" s="535" t="n"/>
      <c r="X435" s="536" t="n"/>
      <c r="Y435" s="519" t="n"/>
      <c r="Z435" s="683" t="n"/>
      <c r="AA435" s="684" t="n"/>
      <c r="AB435" s="684" t="n"/>
      <c r="AC435" s="684" t="n"/>
      <c r="AD435" s="685" t="n"/>
      <c r="AE435" s="686" t="n"/>
      <c r="AF435" s="684" t="n"/>
      <c r="AG435" s="687" t="n"/>
      <c r="AH435" s="687" t="n"/>
      <c r="AI435" s="684" t="n"/>
      <c r="AJ435" s="686" t="n"/>
      <c r="AK435" s="687" t="n"/>
      <c r="AL435" s="687" t="n"/>
      <c r="AM435" s="687" t="n"/>
      <c r="AN435" s="688" t="n"/>
      <c r="AO435" s="686" t="n"/>
      <c r="AP435" s="689" t="n"/>
      <c r="AQ435" s="689" t="n"/>
      <c r="AR435" s="689" t="n"/>
      <c r="AS435" s="690" t="n"/>
      <c r="AT435" s="691">
        <f>IF(AJ435&lt;&gt;"",(IF(AV435="到貨","",(AJ435-TODAY()))),"")</f>
        <v/>
      </c>
      <c r="AU435" s="692">
        <f>IF(AO435&lt;&gt;"",(AO435-AE435),"")</f>
        <v/>
      </c>
      <c r="AV435" s="86">
        <f>IF(AI435&lt;&gt;"",IF(AS435&lt;&gt;"","到貨","5次發包中"),IF(AH435&lt;&gt;"",IF(AR435&lt;&gt;"","到貨","4次發包中"),IF(AG435&lt;&gt;"",IF(AQ435&lt;&gt;"","到貨","3次發包中"),IF(AF435&lt;&gt;"",IF(AP435&lt;&gt;"","到貨","2次發包中"),IF(AE435&lt;&gt;"",IF(AO435&lt;&gt;"","到貨","發包中"),"")))))</f>
        <v/>
      </c>
      <c r="AW435" s="86">
        <f>IF(OR($AW$6=Y435),$AW$6,"")</f>
        <v/>
      </c>
      <c r="AX435" s="87">
        <f t="array" ref="AX435">IF(OR(AV435:AW435={"到貨","庫存"}),"完成","")</f>
        <v/>
      </c>
      <c r="AY435" s="92">
        <f>E435*$M$1</f>
        <v/>
      </c>
    </row>
    <row r="436" outlineLevel="1" ht="14.25" customHeight="1">
      <c r="A436" s="67" t="n">
        <v>301</v>
      </c>
      <c r="B436" s="526" t="n"/>
      <c r="C436" s="393" t="n"/>
      <c r="D436" s="427" t="n"/>
      <c r="E436" s="526" t="n"/>
      <c r="F436" s="526" t="n"/>
      <c r="G436" s="527" t="n"/>
      <c r="H436" s="393" t="n"/>
      <c r="I436" s="528" t="n"/>
      <c r="J436" s="528" t="n"/>
      <c r="K436" s="528" t="n"/>
      <c r="L436" s="529" t="n"/>
      <c r="M436" s="529" t="n"/>
      <c r="N436" s="530" t="n"/>
      <c r="O436" s="531" t="n"/>
      <c r="P436" s="527" t="n"/>
      <c r="Q436" s="528" t="n"/>
      <c r="R436" s="528" t="n"/>
      <c r="S436" s="528" t="n"/>
      <c r="T436" s="543" t="n"/>
      <c r="U436" s="534" t="n"/>
      <c r="V436" s="516" t="n"/>
      <c r="W436" s="535" t="n"/>
      <c r="X436" s="536" t="n"/>
      <c r="Y436" s="519" t="n"/>
      <c r="Z436" s="683" t="n"/>
      <c r="AA436" s="684" t="n"/>
      <c r="AB436" s="684" t="n"/>
      <c r="AC436" s="684" t="n"/>
      <c r="AD436" s="685" t="n"/>
      <c r="AE436" s="686" t="n"/>
      <c r="AF436" s="684" t="n"/>
      <c r="AG436" s="687" t="n"/>
      <c r="AH436" s="687" t="n"/>
      <c r="AI436" s="684" t="n"/>
      <c r="AJ436" s="686" t="n"/>
      <c r="AK436" s="687" t="n"/>
      <c r="AL436" s="687" t="n"/>
      <c r="AM436" s="687" t="n"/>
      <c r="AN436" s="688" t="n"/>
      <c r="AO436" s="686" t="n"/>
      <c r="AP436" s="689" t="n"/>
      <c r="AQ436" s="689" t="n"/>
      <c r="AR436" s="689" t="n"/>
      <c r="AS436" s="690" t="n"/>
      <c r="AT436" s="691">
        <f>IF(AJ436&lt;&gt;"",(IF(AV436="到貨","",(AJ436-TODAY()))),"")</f>
        <v/>
      </c>
      <c r="AU436" s="692">
        <f>IF(AO436&lt;&gt;"",(AO436-AE436),"")</f>
        <v/>
      </c>
      <c r="AV436" s="86">
        <f>IF(AI436&lt;&gt;"",IF(AS436&lt;&gt;"","到貨","5次發包中"),IF(AH436&lt;&gt;"",IF(AR436&lt;&gt;"","到貨","4次發包中"),IF(AG436&lt;&gt;"",IF(AQ436&lt;&gt;"","到貨","3次發包中"),IF(AF436&lt;&gt;"",IF(AP436&lt;&gt;"","到貨","2次發包中"),IF(AE436&lt;&gt;"",IF(AO436&lt;&gt;"","到貨","發包中"),"")))))</f>
        <v/>
      </c>
      <c r="AW436" s="86">
        <f>IF(OR($AW$6=Y436),$AW$6,"")</f>
        <v/>
      </c>
      <c r="AX436" s="87">
        <f t="array" ref="AX436">IF(OR(AV436:AW436={"到貨","庫存"}),"完成","")</f>
        <v/>
      </c>
      <c r="AY436" s="92">
        <f>E436*$M$1</f>
        <v/>
      </c>
    </row>
    <row r="437" outlineLevel="1" ht="14.25" customHeight="1">
      <c r="A437" s="67" t="n">
        <v>301</v>
      </c>
      <c r="B437" s="526" t="n"/>
      <c r="C437" s="393" t="n"/>
      <c r="D437" s="427" t="n"/>
      <c r="E437" s="526" t="n"/>
      <c r="F437" s="526" t="n"/>
      <c r="G437" s="527" t="n"/>
      <c r="H437" s="393" t="n"/>
      <c r="I437" s="528" t="n"/>
      <c r="J437" s="528" t="n"/>
      <c r="K437" s="528" t="n"/>
      <c r="L437" s="529" t="n"/>
      <c r="M437" s="529" t="n"/>
      <c r="N437" s="530" t="n"/>
      <c r="O437" s="531" t="n"/>
      <c r="P437" s="527" t="n"/>
      <c r="Q437" s="528" t="n"/>
      <c r="R437" s="528" t="n"/>
      <c r="S437" s="528" t="n"/>
      <c r="T437" s="543" t="n"/>
      <c r="U437" s="534" t="n"/>
      <c r="V437" s="516" t="n"/>
      <c r="W437" s="535" t="n"/>
      <c r="X437" s="536" t="n"/>
      <c r="Y437" s="519" t="n"/>
      <c r="Z437" s="683" t="n"/>
      <c r="AA437" s="684" t="n"/>
      <c r="AB437" s="684" t="n"/>
      <c r="AC437" s="684" t="n"/>
      <c r="AD437" s="685" t="n"/>
      <c r="AE437" s="686" t="n"/>
      <c r="AF437" s="684" t="n"/>
      <c r="AG437" s="687" t="n"/>
      <c r="AH437" s="687" t="n"/>
      <c r="AI437" s="684" t="n"/>
      <c r="AJ437" s="686" t="n"/>
      <c r="AK437" s="687" t="n"/>
      <c r="AL437" s="687" t="n"/>
      <c r="AM437" s="687" t="n"/>
      <c r="AN437" s="688" t="n"/>
      <c r="AO437" s="686" t="n"/>
      <c r="AP437" s="689" t="n"/>
      <c r="AQ437" s="689" t="n"/>
      <c r="AR437" s="689" t="n"/>
      <c r="AS437" s="690" t="n"/>
      <c r="AT437" s="691">
        <f>IF(AJ437&lt;&gt;"",(IF(AV437="到貨","",(AJ437-TODAY()))),"")</f>
        <v/>
      </c>
      <c r="AU437" s="692">
        <f>IF(AO437&lt;&gt;"",(AO437-AE437),"")</f>
        <v/>
      </c>
      <c r="AV437" s="86">
        <f>IF(AI437&lt;&gt;"",IF(AS437&lt;&gt;"","到貨","5次發包中"),IF(AH437&lt;&gt;"",IF(AR437&lt;&gt;"","到貨","4次發包中"),IF(AG437&lt;&gt;"",IF(AQ437&lt;&gt;"","到貨","3次發包中"),IF(AF437&lt;&gt;"",IF(AP437&lt;&gt;"","到貨","2次發包中"),IF(AE437&lt;&gt;"",IF(AO437&lt;&gt;"","到貨","發包中"),"")))))</f>
        <v/>
      </c>
      <c r="AW437" s="86">
        <f>IF(OR($AW$6=Y437),$AW$6,"")</f>
        <v/>
      </c>
      <c r="AX437" s="87">
        <f t="array" ref="AX437">IF(OR(AV437:AW437={"到貨","庫存"}),"完成","")</f>
        <v/>
      </c>
      <c r="AY437" s="92">
        <f>E437*$M$1</f>
        <v/>
      </c>
    </row>
    <row r="438" outlineLevel="1" ht="14.25" customHeight="1">
      <c r="A438" s="67" t="n">
        <v>301</v>
      </c>
      <c r="B438" s="526" t="n"/>
      <c r="C438" s="393" t="n"/>
      <c r="D438" s="427" t="n"/>
      <c r="E438" s="526" t="n"/>
      <c r="F438" s="526" t="n"/>
      <c r="G438" s="527" t="n"/>
      <c r="H438" s="393" t="n"/>
      <c r="I438" s="528" t="n"/>
      <c r="J438" s="528" t="n"/>
      <c r="K438" s="528" t="n"/>
      <c r="L438" s="529" t="n"/>
      <c r="M438" s="529" t="n"/>
      <c r="N438" s="530" t="n"/>
      <c r="O438" s="531" t="n"/>
      <c r="P438" s="527" t="n"/>
      <c r="Q438" s="528" t="n"/>
      <c r="R438" s="528" t="n"/>
      <c r="S438" s="528" t="n"/>
      <c r="T438" s="543" t="n"/>
      <c r="U438" s="534" t="n"/>
      <c r="V438" s="516" t="n"/>
      <c r="W438" s="535" t="n"/>
      <c r="X438" s="536" t="n"/>
      <c r="Y438" s="519" t="n"/>
      <c r="Z438" s="683" t="n"/>
      <c r="AA438" s="684" t="n"/>
      <c r="AB438" s="684" t="n"/>
      <c r="AC438" s="684" t="n"/>
      <c r="AD438" s="685" t="n"/>
      <c r="AE438" s="686" t="n"/>
      <c r="AF438" s="684" t="n"/>
      <c r="AG438" s="687" t="n"/>
      <c r="AH438" s="687" t="n"/>
      <c r="AI438" s="684" t="n"/>
      <c r="AJ438" s="686" t="n"/>
      <c r="AK438" s="687" t="n"/>
      <c r="AL438" s="687" t="n"/>
      <c r="AM438" s="687" t="n"/>
      <c r="AN438" s="688" t="n"/>
      <c r="AO438" s="686" t="n"/>
      <c r="AP438" s="689" t="n"/>
      <c r="AQ438" s="689" t="n"/>
      <c r="AR438" s="689" t="n"/>
      <c r="AS438" s="690" t="n"/>
      <c r="AT438" s="691">
        <f>IF(AJ438&lt;&gt;"",(IF(AV438="到貨","",(AJ438-TODAY()))),"")</f>
        <v/>
      </c>
      <c r="AU438" s="692">
        <f>IF(AO438&lt;&gt;"",(AO438-AE438),"")</f>
        <v/>
      </c>
      <c r="AV438" s="86">
        <f>IF(AI438&lt;&gt;"",IF(AS438&lt;&gt;"","到貨","5次發包中"),IF(AH438&lt;&gt;"",IF(AR438&lt;&gt;"","到貨","4次發包中"),IF(AG438&lt;&gt;"",IF(AQ438&lt;&gt;"","到貨","3次發包中"),IF(AF438&lt;&gt;"",IF(AP438&lt;&gt;"","到貨","2次發包中"),IF(AE438&lt;&gt;"",IF(AO438&lt;&gt;"","到貨","發包中"),"")))))</f>
        <v/>
      </c>
      <c r="AW438" s="86">
        <f>IF(OR($AW$6=Y438),$AW$6,"")</f>
        <v/>
      </c>
      <c r="AX438" s="87">
        <f t="array" ref="AX438">IF(OR(AV438:AW438={"到貨","庫存"}),"完成","")</f>
        <v/>
      </c>
      <c r="AY438" s="92">
        <f>E438*$M$1</f>
        <v/>
      </c>
    </row>
    <row r="439" outlineLevel="1" ht="14.25" customHeight="1">
      <c r="A439" s="67" t="n">
        <v>301</v>
      </c>
      <c r="B439" s="526" t="n"/>
      <c r="C439" s="393" t="n"/>
      <c r="D439" s="427" t="n"/>
      <c r="E439" s="526" t="n"/>
      <c r="F439" s="526" t="n"/>
      <c r="G439" s="527" t="n"/>
      <c r="H439" s="393" t="n"/>
      <c r="I439" s="528" t="n"/>
      <c r="J439" s="528" t="n"/>
      <c r="K439" s="528" t="n"/>
      <c r="L439" s="529" t="n"/>
      <c r="M439" s="529" t="n"/>
      <c r="N439" s="530" t="n"/>
      <c r="O439" s="531" t="n"/>
      <c r="P439" s="527" t="n"/>
      <c r="Q439" s="528" t="n"/>
      <c r="R439" s="528" t="n"/>
      <c r="S439" s="528" t="n"/>
      <c r="T439" s="543" t="n"/>
      <c r="U439" s="534" t="n"/>
      <c r="V439" s="516" t="n"/>
      <c r="W439" s="535" t="n"/>
      <c r="X439" s="536" t="n"/>
      <c r="Y439" s="519" t="n"/>
      <c r="Z439" s="683" t="n"/>
      <c r="AA439" s="684" t="n"/>
      <c r="AB439" s="684" t="n"/>
      <c r="AC439" s="684" t="n"/>
      <c r="AD439" s="685" t="n"/>
      <c r="AE439" s="686" t="n"/>
      <c r="AF439" s="684" t="n"/>
      <c r="AG439" s="687" t="n"/>
      <c r="AH439" s="687" t="n"/>
      <c r="AI439" s="684" t="n"/>
      <c r="AJ439" s="686" t="n"/>
      <c r="AK439" s="687" t="n"/>
      <c r="AL439" s="687" t="n"/>
      <c r="AM439" s="687" t="n"/>
      <c r="AN439" s="688" t="n"/>
      <c r="AO439" s="686" t="n"/>
      <c r="AP439" s="689" t="n"/>
      <c r="AQ439" s="689" t="n"/>
      <c r="AR439" s="689" t="n"/>
      <c r="AS439" s="690" t="n"/>
      <c r="AT439" s="691">
        <f>IF(AJ439&lt;&gt;"",(IF(AV439="到貨","",(AJ439-TODAY()))),"")</f>
        <v/>
      </c>
      <c r="AU439" s="692">
        <f>IF(AO439&lt;&gt;"",(AO439-AE439),"")</f>
        <v/>
      </c>
      <c r="AV439" s="86">
        <f>IF(AI439&lt;&gt;"",IF(AS439&lt;&gt;"","到貨","5次發包中"),IF(AH439&lt;&gt;"",IF(AR439&lt;&gt;"","到貨","4次發包中"),IF(AG439&lt;&gt;"",IF(AQ439&lt;&gt;"","到貨","3次發包中"),IF(AF439&lt;&gt;"",IF(AP439&lt;&gt;"","到貨","2次發包中"),IF(AE439&lt;&gt;"",IF(AO439&lt;&gt;"","到貨","發包中"),"")))))</f>
        <v/>
      </c>
      <c r="AW439" s="86">
        <f>IF(OR($AW$6=Y439),$AW$6,"")</f>
        <v/>
      </c>
      <c r="AX439" s="87">
        <f t="array" ref="AX439">IF(OR(AV439:AW439={"到貨","庫存"}),"完成","")</f>
        <v/>
      </c>
      <c r="AY439" s="92">
        <f>E439*$M$1</f>
        <v/>
      </c>
    </row>
    <row r="440" outlineLevel="1" ht="14.25" customHeight="1">
      <c r="A440" s="67" t="n">
        <v>301</v>
      </c>
      <c r="B440" s="526" t="n"/>
      <c r="C440" s="393" t="n"/>
      <c r="D440" s="427" t="n"/>
      <c r="E440" s="526" t="n"/>
      <c r="F440" s="526" t="n"/>
      <c r="G440" s="527" t="n"/>
      <c r="H440" s="393" t="n"/>
      <c r="I440" s="528" t="n"/>
      <c r="J440" s="528" t="n"/>
      <c r="K440" s="528" t="n"/>
      <c r="L440" s="529" t="n"/>
      <c r="M440" s="529" t="n"/>
      <c r="N440" s="530" t="n"/>
      <c r="O440" s="531" t="n"/>
      <c r="P440" s="527" t="n"/>
      <c r="Q440" s="528" t="n"/>
      <c r="R440" s="528" t="n"/>
      <c r="S440" s="528" t="n"/>
      <c r="T440" s="543" t="n"/>
      <c r="U440" s="534" t="n"/>
      <c r="V440" s="516" t="n"/>
      <c r="W440" s="535" t="n"/>
      <c r="X440" s="536" t="n"/>
      <c r="Y440" s="519" t="n"/>
      <c r="Z440" s="683" t="n"/>
      <c r="AA440" s="684" t="n"/>
      <c r="AB440" s="684" t="n"/>
      <c r="AC440" s="684" t="n"/>
      <c r="AD440" s="685" t="n"/>
      <c r="AE440" s="686" t="n"/>
      <c r="AF440" s="684" t="n"/>
      <c r="AG440" s="687" t="n"/>
      <c r="AH440" s="687" t="n"/>
      <c r="AI440" s="684" t="n"/>
      <c r="AJ440" s="686" t="n"/>
      <c r="AK440" s="687" t="n"/>
      <c r="AL440" s="687" t="n"/>
      <c r="AM440" s="687" t="n"/>
      <c r="AN440" s="688" t="n"/>
      <c r="AO440" s="686" t="n"/>
      <c r="AP440" s="689" t="n"/>
      <c r="AQ440" s="689" t="n"/>
      <c r="AR440" s="689" t="n"/>
      <c r="AS440" s="690" t="n"/>
      <c r="AT440" s="691">
        <f>IF(AJ440&lt;&gt;"",(IF(AV440="到貨","",(AJ440-TODAY()))),"")</f>
        <v/>
      </c>
      <c r="AU440" s="692">
        <f>IF(AO440&lt;&gt;"",(AO440-AE440),"")</f>
        <v/>
      </c>
      <c r="AV440" s="86">
        <f>IF(AI440&lt;&gt;"",IF(AS440&lt;&gt;"","到貨","5次發包中"),IF(AH440&lt;&gt;"",IF(AR440&lt;&gt;"","到貨","4次發包中"),IF(AG440&lt;&gt;"",IF(AQ440&lt;&gt;"","到貨","3次發包中"),IF(AF440&lt;&gt;"",IF(AP440&lt;&gt;"","到貨","2次發包中"),IF(AE440&lt;&gt;"",IF(AO440&lt;&gt;"","到貨","發包中"),"")))))</f>
        <v/>
      </c>
      <c r="AW440" s="86">
        <f>IF(OR($AW$6=Y440),$AW$6,"")</f>
        <v/>
      </c>
      <c r="AX440" s="87">
        <f t="array" ref="AX440">IF(OR(AV440:AW440={"到貨","庫存"}),"完成","")</f>
        <v/>
      </c>
      <c r="AY440" s="92">
        <f>E440*$M$1</f>
        <v/>
      </c>
    </row>
    <row r="441" outlineLevel="1" ht="14.25" customHeight="1">
      <c r="A441" s="67" t="n">
        <v>301</v>
      </c>
      <c r="B441" s="526" t="n"/>
      <c r="C441" s="393" t="n"/>
      <c r="D441" s="427" t="n"/>
      <c r="E441" s="526" t="n"/>
      <c r="F441" s="526" t="n"/>
      <c r="G441" s="527" t="n"/>
      <c r="H441" s="393" t="n"/>
      <c r="I441" s="528" t="n"/>
      <c r="J441" s="528" t="n"/>
      <c r="K441" s="528" t="n"/>
      <c r="L441" s="529" t="n"/>
      <c r="M441" s="529" t="n"/>
      <c r="N441" s="530" t="n"/>
      <c r="O441" s="531" t="n"/>
      <c r="P441" s="527" t="n"/>
      <c r="Q441" s="528" t="n"/>
      <c r="R441" s="528" t="n"/>
      <c r="S441" s="528" t="n"/>
      <c r="T441" s="543" t="n"/>
      <c r="U441" s="534" t="n"/>
      <c r="V441" s="516" t="n"/>
      <c r="W441" s="535" t="n"/>
      <c r="X441" s="536" t="n"/>
      <c r="Y441" s="519" t="n"/>
      <c r="Z441" s="683" t="n"/>
      <c r="AA441" s="684" t="n"/>
      <c r="AB441" s="684" t="n"/>
      <c r="AC441" s="684" t="n"/>
      <c r="AD441" s="685" t="n"/>
      <c r="AE441" s="686" t="n"/>
      <c r="AF441" s="684" t="n"/>
      <c r="AG441" s="687" t="n"/>
      <c r="AH441" s="687" t="n"/>
      <c r="AI441" s="684" t="n"/>
      <c r="AJ441" s="686" t="n"/>
      <c r="AK441" s="687" t="n"/>
      <c r="AL441" s="687" t="n"/>
      <c r="AM441" s="687" t="n"/>
      <c r="AN441" s="688" t="n"/>
      <c r="AO441" s="686" t="n"/>
      <c r="AP441" s="689" t="n"/>
      <c r="AQ441" s="689" t="n"/>
      <c r="AR441" s="689" t="n"/>
      <c r="AS441" s="690" t="n"/>
      <c r="AT441" s="691">
        <f>IF(AJ441&lt;&gt;"",(IF(AV441="到貨","",(AJ441-TODAY()))),"")</f>
        <v/>
      </c>
      <c r="AU441" s="692">
        <f>IF(AO441&lt;&gt;"",(AO441-AE441),"")</f>
        <v/>
      </c>
      <c r="AV441" s="86">
        <f>IF(AI441&lt;&gt;"",IF(AS441&lt;&gt;"","到貨","5次發包中"),IF(AH441&lt;&gt;"",IF(AR441&lt;&gt;"","到貨","4次發包中"),IF(AG441&lt;&gt;"",IF(AQ441&lt;&gt;"","到貨","3次發包中"),IF(AF441&lt;&gt;"",IF(AP441&lt;&gt;"","到貨","2次發包中"),IF(AE441&lt;&gt;"",IF(AO441&lt;&gt;"","到貨","發包中"),"")))))</f>
        <v/>
      </c>
      <c r="AW441" s="86">
        <f>IF(OR($AW$6=Y441),$AW$6,"")</f>
        <v/>
      </c>
      <c r="AX441" s="87">
        <f t="array" ref="AX441">IF(OR(AV441:AW441={"到貨","庫存"}),"完成","")</f>
        <v/>
      </c>
      <c r="AY441" s="92">
        <f>E441*$M$1</f>
        <v/>
      </c>
    </row>
    <row r="442" outlineLevel="1" ht="14.25" customHeight="1">
      <c r="A442" s="67" t="n">
        <v>301</v>
      </c>
      <c r="B442" s="526" t="n"/>
      <c r="C442" s="393" t="n"/>
      <c r="D442" s="427" t="n"/>
      <c r="E442" s="526" t="n"/>
      <c r="F442" s="526" t="n"/>
      <c r="G442" s="527" t="n"/>
      <c r="H442" s="393" t="n"/>
      <c r="I442" s="528" t="n"/>
      <c r="J442" s="528" t="n"/>
      <c r="K442" s="528" t="n"/>
      <c r="L442" s="529" t="n"/>
      <c r="M442" s="529" t="n"/>
      <c r="N442" s="530" t="n"/>
      <c r="O442" s="531" t="n"/>
      <c r="P442" s="527" t="n"/>
      <c r="Q442" s="528" t="n"/>
      <c r="R442" s="528" t="n"/>
      <c r="S442" s="528" t="n"/>
      <c r="T442" s="543" t="n"/>
      <c r="U442" s="534" t="n"/>
      <c r="V442" s="516" t="n"/>
      <c r="W442" s="535" t="n"/>
      <c r="X442" s="536" t="n"/>
      <c r="Y442" s="519" t="n"/>
      <c r="Z442" s="683" t="n"/>
      <c r="AA442" s="684" t="n"/>
      <c r="AB442" s="684" t="n"/>
      <c r="AC442" s="684" t="n"/>
      <c r="AD442" s="685" t="n"/>
      <c r="AE442" s="686" t="n"/>
      <c r="AF442" s="684" t="n"/>
      <c r="AG442" s="687" t="n"/>
      <c r="AH442" s="687" t="n"/>
      <c r="AI442" s="684" t="n"/>
      <c r="AJ442" s="686" t="n"/>
      <c r="AK442" s="687" t="n"/>
      <c r="AL442" s="687" t="n"/>
      <c r="AM442" s="687" t="n"/>
      <c r="AN442" s="688" t="n"/>
      <c r="AO442" s="686" t="n"/>
      <c r="AP442" s="689" t="n"/>
      <c r="AQ442" s="689" t="n"/>
      <c r="AR442" s="689" t="n"/>
      <c r="AS442" s="690" t="n"/>
      <c r="AT442" s="691">
        <f>IF(AJ442&lt;&gt;"",(IF(AV442="到貨","",(AJ442-TODAY()))),"")</f>
        <v/>
      </c>
      <c r="AU442" s="692">
        <f>IF(AO442&lt;&gt;"",(AO442-AE442),"")</f>
        <v/>
      </c>
      <c r="AV442" s="86">
        <f>IF(AI442&lt;&gt;"",IF(AS442&lt;&gt;"","到貨","5次發包中"),IF(AH442&lt;&gt;"",IF(AR442&lt;&gt;"","到貨","4次發包中"),IF(AG442&lt;&gt;"",IF(AQ442&lt;&gt;"","到貨","3次發包中"),IF(AF442&lt;&gt;"",IF(AP442&lt;&gt;"","到貨","2次發包中"),IF(AE442&lt;&gt;"",IF(AO442&lt;&gt;"","到貨","發包中"),"")))))</f>
        <v/>
      </c>
      <c r="AW442" s="86">
        <f>IF(OR($AW$6=Y442),$AW$6,"")</f>
        <v/>
      </c>
      <c r="AX442" s="87">
        <f t="array" ref="AX442">IF(OR(AV442:AW442={"到貨","庫存"}),"完成","")</f>
        <v/>
      </c>
      <c r="AY442" s="92">
        <f>E442*$M$1</f>
        <v/>
      </c>
    </row>
    <row r="443" outlineLevel="1" ht="14.25" customHeight="1">
      <c r="A443" s="67" t="n">
        <v>301</v>
      </c>
      <c r="B443" s="526" t="n"/>
      <c r="C443" s="393" t="n"/>
      <c r="D443" s="427" t="n"/>
      <c r="E443" s="526" t="n"/>
      <c r="F443" s="526" t="n"/>
      <c r="G443" s="527" t="n"/>
      <c r="H443" s="393" t="n"/>
      <c r="I443" s="528" t="n"/>
      <c r="J443" s="528" t="n"/>
      <c r="K443" s="528" t="n"/>
      <c r="L443" s="529" t="n"/>
      <c r="M443" s="529" t="n"/>
      <c r="N443" s="530" t="n"/>
      <c r="O443" s="531" t="n"/>
      <c r="P443" s="527" t="n"/>
      <c r="Q443" s="528" t="n"/>
      <c r="R443" s="528" t="n"/>
      <c r="S443" s="528" t="n"/>
      <c r="T443" s="543" t="n"/>
      <c r="U443" s="534" t="n"/>
      <c r="V443" s="516" t="n"/>
      <c r="W443" s="535" t="n"/>
      <c r="X443" s="536" t="n"/>
      <c r="Y443" s="519" t="n"/>
      <c r="Z443" s="683" t="n"/>
      <c r="AA443" s="684" t="n"/>
      <c r="AB443" s="684" t="n"/>
      <c r="AC443" s="684" t="n"/>
      <c r="AD443" s="685" t="n"/>
      <c r="AE443" s="686" t="n"/>
      <c r="AF443" s="684" t="n"/>
      <c r="AG443" s="687" t="n"/>
      <c r="AH443" s="687" t="n"/>
      <c r="AI443" s="684" t="n"/>
      <c r="AJ443" s="686" t="n"/>
      <c r="AK443" s="687" t="n"/>
      <c r="AL443" s="687" t="n"/>
      <c r="AM443" s="687" t="n"/>
      <c r="AN443" s="688" t="n"/>
      <c r="AO443" s="686" t="n"/>
      <c r="AP443" s="689" t="n"/>
      <c r="AQ443" s="689" t="n"/>
      <c r="AR443" s="689" t="n"/>
      <c r="AS443" s="690" t="n"/>
      <c r="AT443" s="691">
        <f>IF(AJ443&lt;&gt;"",(IF(AV443="到貨","",(AJ443-TODAY()))),"")</f>
        <v/>
      </c>
      <c r="AU443" s="692">
        <f>IF(AO443&lt;&gt;"",(AO443-AE443),"")</f>
        <v/>
      </c>
      <c r="AV443" s="86">
        <f>IF(AI443&lt;&gt;"",IF(AS443&lt;&gt;"","到貨","5次發包中"),IF(AH443&lt;&gt;"",IF(AR443&lt;&gt;"","到貨","4次發包中"),IF(AG443&lt;&gt;"",IF(AQ443&lt;&gt;"","到貨","3次發包中"),IF(AF443&lt;&gt;"",IF(AP443&lt;&gt;"","到貨","2次發包中"),IF(AE443&lt;&gt;"",IF(AO443&lt;&gt;"","到貨","發包中"),"")))))</f>
        <v/>
      </c>
      <c r="AW443" s="86">
        <f>IF(OR($AW$6=Y443),$AW$6,"")</f>
        <v/>
      </c>
      <c r="AX443" s="87">
        <f t="array" ref="AX443">IF(OR(AV443:AW443={"到貨","庫存"}),"完成","")</f>
        <v/>
      </c>
      <c r="AY443" s="92">
        <f>E443*$M$1</f>
        <v/>
      </c>
    </row>
    <row r="444" outlineLevel="1" ht="14.25" customHeight="1">
      <c r="A444" s="67" t="n">
        <v>301</v>
      </c>
      <c r="B444" s="526" t="n"/>
      <c r="C444" s="393" t="n"/>
      <c r="D444" s="427" t="n"/>
      <c r="E444" s="526" t="n"/>
      <c r="F444" s="526" t="n"/>
      <c r="G444" s="527" t="n"/>
      <c r="H444" s="393" t="n"/>
      <c r="I444" s="528" t="n"/>
      <c r="J444" s="528" t="n"/>
      <c r="K444" s="528" t="n"/>
      <c r="L444" s="529" t="n"/>
      <c r="M444" s="529" t="n"/>
      <c r="N444" s="530" t="n"/>
      <c r="O444" s="531" t="n"/>
      <c r="P444" s="527" t="n"/>
      <c r="Q444" s="528" t="n"/>
      <c r="R444" s="528" t="n"/>
      <c r="S444" s="528" t="n"/>
      <c r="T444" s="543" t="n"/>
      <c r="U444" s="534" t="n"/>
      <c r="V444" s="516" t="n"/>
      <c r="W444" s="535" t="n"/>
      <c r="X444" s="536" t="n"/>
      <c r="Y444" s="519" t="n"/>
      <c r="Z444" s="683" t="n"/>
      <c r="AA444" s="684" t="n"/>
      <c r="AB444" s="684" t="n"/>
      <c r="AC444" s="684" t="n"/>
      <c r="AD444" s="685" t="n"/>
      <c r="AE444" s="686" t="n"/>
      <c r="AF444" s="684" t="n"/>
      <c r="AG444" s="687" t="n"/>
      <c r="AH444" s="687" t="n"/>
      <c r="AI444" s="684" t="n"/>
      <c r="AJ444" s="686" t="n"/>
      <c r="AK444" s="687" t="n"/>
      <c r="AL444" s="687" t="n"/>
      <c r="AM444" s="687" t="n"/>
      <c r="AN444" s="688" t="n"/>
      <c r="AO444" s="686" t="n"/>
      <c r="AP444" s="689" t="n"/>
      <c r="AQ444" s="689" t="n"/>
      <c r="AR444" s="689" t="n"/>
      <c r="AS444" s="690" t="n"/>
      <c r="AT444" s="691">
        <f>IF(AJ444&lt;&gt;"",(IF(AV444="到貨","",(AJ444-TODAY()))),"")</f>
        <v/>
      </c>
      <c r="AU444" s="692">
        <f>IF(AO444&lt;&gt;"",(AO444-AE444),"")</f>
        <v/>
      </c>
      <c r="AV444" s="86">
        <f>IF(AI444&lt;&gt;"",IF(AS444&lt;&gt;"","到貨","5次發包中"),IF(AH444&lt;&gt;"",IF(AR444&lt;&gt;"","到貨","4次發包中"),IF(AG444&lt;&gt;"",IF(AQ444&lt;&gt;"","到貨","3次發包中"),IF(AF444&lt;&gt;"",IF(AP444&lt;&gt;"","到貨","2次發包中"),IF(AE444&lt;&gt;"",IF(AO444&lt;&gt;"","到貨","發包中"),"")))))</f>
        <v/>
      </c>
      <c r="AW444" s="86">
        <f>IF(OR($AW$6=Y444),$AW$6,"")</f>
        <v/>
      </c>
      <c r="AX444" s="87">
        <f t="array" ref="AX444">IF(OR(AV444:AW444={"到貨","庫存"}),"完成","")</f>
        <v/>
      </c>
      <c r="AY444" s="92">
        <f>E444*$M$1</f>
        <v/>
      </c>
    </row>
    <row r="445" outlineLevel="1" ht="14.25" customHeight="1">
      <c r="A445" s="67" t="n">
        <v>301</v>
      </c>
      <c r="B445" s="526" t="n"/>
      <c r="C445" s="393" t="n"/>
      <c r="D445" s="427" t="n"/>
      <c r="E445" s="526" t="n"/>
      <c r="F445" s="526" t="n"/>
      <c r="G445" s="527" t="n"/>
      <c r="H445" s="393" t="n"/>
      <c r="I445" s="528" t="n"/>
      <c r="J445" s="528" t="n"/>
      <c r="K445" s="528" t="n"/>
      <c r="L445" s="529" t="n"/>
      <c r="M445" s="529" t="n"/>
      <c r="N445" s="530" t="n"/>
      <c r="O445" s="531" t="n"/>
      <c r="P445" s="527" t="n"/>
      <c r="Q445" s="528" t="n"/>
      <c r="R445" s="528" t="n"/>
      <c r="S445" s="528" t="n"/>
      <c r="T445" s="543" t="n"/>
      <c r="U445" s="534" t="n"/>
      <c r="V445" s="516" t="n"/>
      <c r="W445" s="535" t="n"/>
      <c r="X445" s="536" t="n"/>
      <c r="Y445" s="519" t="n"/>
      <c r="Z445" s="683" t="n"/>
      <c r="AA445" s="684" t="n"/>
      <c r="AB445" s="684" t="n"/>
      <c r="AC445" s="684" t="n"/>
      <c r="AD445" s="685" t="n"/>
      <c r="AE445" s="686" t="n"/>
      <c r="AF445" s="684" t="n"/>
      <c r="AG445" s="687" t="n"/>
      <c r="AH445" s="687" t="n"/>
      <c r="AI445" s="684" t="n"/>
      <c r="AJ445" s="686" t="n"/>
      <c r="AK445" s="687" t="n"/>
      <c r="AL445" s="687" t="n"/>
      <c r="AM445" s="687" t="n"/>
      <c r="AN445" s="688" t="n"/>
      <c r="AO445" s="686" t="n"/>
      <c r="AP445" s="689" t="n"/>
      <c r="AQ445" s="689" t="n"/>
      <c r="AR445" s="689" t="n"/>
      <c r="AS445" s="690" t="n"/>
      <c r="AT445" s="691">
        <f>IF(AJ445&lt;&gt;"",(IF(AV445="到貨","",(AJ445-TODAY()))),"")</f>
        <v/>
      </c>
      <c r="AU445" s="692">
        <f>IF(AO445&lt;&gt;"",(AO445-AE445),"")</f>
        <v/>
      </c>
      <c r="AV445" s="86">
        <f>IF(AI445&lt;&gt;"",IF(AS445&lt;&gt;"","到貨","5次發包中"),IF(AH445&lt;&gt;"",IF(AR445&lt;&gt;"","到貨","4次發包中"),IF(AG445&lt;&gt;"",IF(AQ445&lt;&gt;"","到貨","3次發包中"),IF(AF445&lt;&gt;"",IF(AP445&lt;&gt;"","到貨","2次發包中"),IF(AE445&lt;&gt;"",IF(AO445&lt;&gt;"","到貨","發包中"),"")))))</f>
        <v/>
      </c>
      <c r="AW445" s="86">
        <f>IF(OR($AW$6=Y445),$AW$6,"")</f>
        <v/>
      </c>
      <c r="AX445" s="87">
        <f t="array" ref="AX445">IF(OR(AV445:AW445={"到貨","庫存"}),"完成","")</f>
        <v/>
      </c>
      <c r="AY445" s="92">
        <f>E445*$M$1</f>
        <v/>
      </c>
    </row>
    <row r="446" outlineLevel="1" ht="14.25" customHeight="1">
      <c r="A446" s="67" t="n">
        <v>301</v>
      </c>
      <c r="B446" s="526" t="n"/>
      <c r="C446" s="393" t="n"/>
      <c r="D446" s="427" t="n"/>
      <c r="E446" s="526" t="n"/>
      <c r="F446" s="526" t="n"/>
      <c r="G446" s="527" t="n"/>
      <c r="H446" s="393" t="n"/>
      <c r="I446" s="528" t="n"/>
      <c r="J446" s="528" t="n"/>
      <c r="K446" s="528" t="n"/>
      <c r="L446" s="529" t="n"/>
      <c r="M446" s="529" t="n"/>
      <c r="N446" s="530" t="n"/>
      <c r="O446" s="531" t="n"/>
      <c r="P446" s="527" t="n"/>
      <c r="Q446" s="528" t="n"/>
      <c r="R446" s="528" t="n"/>
      <c r="S446" s="528" t="n"/>
      <c r="T446" s="543" t="n"/>
      <c r="U446" s="534" t="n"/>
      <c r="V446" s="516" t="n"/>
      <c r="W446" s="535" t="n"/>
      <c r="X446" s="536" t="n"/>
      <c r="Y446" s="519" t="n"/>
      <c r="Z446" s="683" t="n"/>
      <c r="AA446" s="684" t="n"/>
      <c r="AB446" s="684" t="n"/>
      <c r="AC446" s="684" t="n"/>
      <c r="AD446" s="685" t="n"/>
      <c r="AE446" s="686" t="n"/>
      <c r="AF446" s="684" t="n"/>
      <c r="AG446" s="687" t="n"/>
      <c r="AH446" s="687" t="n"/>
      <c r="AI446" s="684" t="n"/>
      <c r="AJ446" s="686" t="n"/>
      <c r="AK446" s="687" t="n"/>
      <c r="AL446" s="687" t="n"/>
      <c r="AM446" s="687" t="n"/>
      <c r="AN446" s="688" t="n"/>
      <c r="AO446" s="686" t="n"/>
      <c r="AP446" s="689" t="n"/>
      <c r="AQ446" s="689" t="n"/>
      <c r="AR446" s="689" t="n"/>
      <c r="AS446" s="690" t="n"/>
      <c r="AT446" s="691">
        <f>IF(AJ446&lt;&gt;"",(IF(AV446="到貨","",(AJ446-TODAY()))),"")</f>
        <v/>
      </c>
      <c r="AU446" s="692">
        <f>IF(AO446&lt;&gt;"",(AO446-AE446),"")</f>
        <v/>
      </c>
      <c r="AV446" s="86">
        <f>IF(AI446&lt;&gt;"",IF(AS446&lt;&gt;"","到貨","5次發包中"),IF(AH446&lt;&gt;"",IF(AR446&lt;&gt;"","到貨","4次發包中"),IF(AG446&lt;&gt;"",IF(AQ446&lt;&gt;"","到貨","3次發包中"),IF(AF446&lt;&gt;"",IF(AP446&lt;&gt;"","到貨","2次發包中"),IF(AE446&lt;&gt;"",IF(AO446&lt;&gt;"","到貨","發包中"),"")))))</f>
        <v/>
      </c>
      <c r="AW446" s="86">
        <f>IF(OR($AW$6=Y446),$AW$6,"")</f>
        <v/>
      </c>
      <c r="AX446" s="87">
        <f t="array" ref="AX446">IF(OR(AV446:AW446={"到貨","庫存"}),"完成","")</f>
        <v/>
      </c>
      <c r="AY446" s="92">
        <f>E446*$M$1</f>
        <v/>
      </c>
    </row>
    <row r="447" outlineLevel="1" ht="14.25" customHeight="1">
      <c r="A447" s="67" t="n">
        <v>301</v>
      </c>
      <c r="B447" s="526" t="n"/>
      <c r="C447" s="393" t="n"/>
      <c r="D447" s="427" t="n"/>
      <c r="E447" s="526" t="n"/>
      <c r="F447" s="526" t="n"/>
      <c r="G447" s="527" t="n"/>
      <c r="H447" s="393" t="n"/>
      <c r="I447" s="528" t="n"/>
      <c r="J447" s="528" t="n"/>
      <c r="K447" s="528" t="n"/>
      <c r="L447" s="529" t="n"/>
      <c r="M447" s="529" t="n"/>
      <c r="N447" s="530" t="n"/>
      <c r="O447" s="531" t="n"/>
      <c r="P447" s="527" t="n"/>
      <c r="Q447" s="528" t="n"/>
      <c r="R447" s="528" t="n"/>
      <c r="S447" s="528" t="n"/>
      <c r="T447" s="543" t="n"/>
      <c r="U447" s="534" t="n"/>
      <c r="V447" s="516" t="n"/>
      <c r="W447" s="535" t="n"/>
      <c r="X447" s="536" t="n"/>
      <c r="Y447" s="519" t="n"/>
      <c r="Z447" s="683" t="n"/>
      <c r="AA447" s="684" t="n"/>
      <c r="AB447" s="684" t="n"/>
      <c r="AC447" s="684" t="n"/>
      <c r="AD447" s="685" t="n"/>
      <c r="AE447" s="686" t="n"/>
      <c r="AF447" s="684" t="n"/>
      <c r="AG447" s="687" t="n"/>
      <c r="AH447" s="687" t="n"/>
      <c r="AI447" s="684" t="n"/>
      <c r="AJ447" s="686" t="n"/>
      <c r="AK447" s="687" t="n"/>
      <c r="AL447" s="687" t="n"/>
      <c r="AM447" s="687" t="n"/>
      <c r="AN447" s="688" t="n"/>
      <c r="AO447" s="686" t="n"/>
      <c r="AP447" s="689" t="n"/>
      <c r="AQ447" s="689" t="n"/>
      <c r="AR447" s="689" t="n"/>
      <c r="AS447" s="690" t="n"/>
      <c r="AT447" s="691">
        <f>IF(AJ447&lt;&gt;"",(IF(AV447="到貨","",(AJ447-TODAY()))),"")</f>
        <v/>
      </c>
      <c r="AU447" s="692">
        <f>IF(AO447&lt;&gt;"",(AO447-AE447),"")</f>
        <v/>
      </c>
      <c r="AV447" s="86">
        <f>IF(AI447&lt;&gt;"",IF(AS447&lt;&gt;"","到貨","5次發包中"),IF(AH447&lt;&gt;"",IF(AR447&lt;&gt;"","到貨","4次發包中"),IF(AG447&lt;&gt;"",IF(AQ447&lt;&gt;"","到貨","3次發包中"),IF(AF447&lt;&gt;"",IF(AP447&lt;&gt;"","到貨","2次發包中"),IF(AE447&lt;&gt;"",IF(AO447&lt;&gt;"","到貨","發包中"),"")))))</f>
        <v/>
      </c>
      <c r="AW447" s="86">
        <f>IF(OR($AW$6=Y447),$AW$6,"")</f>
        <v/>
      </c>
      <c r="AX447" s="87">
        <f t="array" ref="AX447">IF(OR(AV447:AW447={"到貨","庫存"}),"完成","")</f>
        <v/>
      </c>
      <c r="AY447" s="92">
        <f>E447*$M$1</f>
        <v/>
      </c>
    </row>
    <row r="448" outlineLevel="1" ht="14.25" customHeight="1">
      <c r="A448" s="67" t="n">
        <v>301</v>
      </c>
      <c r="B448" s="526" t="n"/>
      <c r="C448" s="393" t="n"/>
      <c r="D448" s="427" t="n"/>
      <c r="E448" s="526" t="n"/>
      <c r="F448" s="526" t="n"/>
      <c r="G448" s="527" t="n"/>
      <c r="H448" s="393" t="n"/>
      <c r="I448" s="528" t="n"/>
      <c r="J448" s="528" t="n"/>
      <c r="K448" s="528" t="n"/>
      <c r="L448" s="529" t="n"/>
      <c r="M448" s="529" t="n"/>
      <c r="N448" s="530" t="n"/>
      <c r="O448" s="531" t="n"/>
      <c r="P448" s="527" t="n"/>
      <c r="Q448" s="528" t="n"/>
      <c r="R448" s="528" t="n"/>
      <c r="S448" s="528" t="n"/>
      <c r="T448" s="543" t="n"/>
      <c r="U448" s="534" t="n"/>
      <c r="V448" s="516" t="n"/>
      <c r="W448" s="535" t="n"/>
      <c r="X448" s="536" t="n"/>
      <c r="Y448" s="519" t="n"/>
      <c r="Z448" s="683" t="n"/>
      <c r="AA448" s="684" t="n"/>
      <c r="AB448" s="684" t="n"/>
      <c r="AC448" s="684" t="n"/>
      <c r="AD448" s="685" t="n"/>
      <c r="AE448" s="686" t="n"/>
      <c r="AF448" s="684" t="n"/>
      <c r="AG448" s="687" t="n"/>
      <c r="AH448" s="687" t="n"/>
      <c r="AI448" s="684" t="n"/>
      <c r="AJ448" s="686" t="n"/>
      <c r="AK448" s="687" t="n"/>
      <c r="AL448" s="687" t="n"/>
      <c r="AM448" s="687" t="n"/>
      <c r="AN448" s="688" t="n"/>
      <c r="AO448" s="686" t="n"/>
      <c r="AP448" s="689" t="n"/>
      <c r="AQ448" s="689" t="n"/>
      <c r="AR448" s="689" t="n"/>
      <c r="AS448" s="690" t="n"/>
      <c r="AT448" s="691">
        <f>IF(AJ448&lt;&gt;"",(IF(AV448="到貨","",(AJ448-TODAY()))),"")</f>
        <v/>
      </c>
      <c r="AU448" s="692">
        <f>IF(AO448&lt;&gt;"",(AO448-AE448),"")</f>
        <v/>
      </c>
      <c r="AV448" s="86">
        <f>IF(AI448&lt;&gt;"",IF(AS448&lt;&gt;"","到貨","5次發包中"),IF(AH448&lt;&gt;"",IF(AR448&lt;&gt;"","到貨","4次發包中"),IF(AG448&lt;&gt;"",IF(AQ448&lt;&gt;"","到貨","3次發包中"),IF(AF448&lt;&gt;"",IF(AP448&lt;&gt;"","到貨","2次發包中"),IF(AE448&lt;&gt;"",IF(AO448&lt;&gt;"","到貨","發包中"),"")))))</f>
        <v/>
      </c>
      <c r="AW448" s="86">
        <f>IF(OR($AW$6=Y448),$AW$6,"")</f>
        <v/>
      </c>
      <c r="AX448" s="87">
        <f t="array" ref="AX448">IF(OR(AV448:AW448={"到貨","庫存"}),"完成","")</f>
        <v/>
      </c>
      <c r="AY448" s="92">
        <f>E448*$M$1</f>
        <v/>
      </c>
    </row>
    <row r="449" outlineLevel="1" ht="14.25" customHeight="1">
      <c r="A449" s="67" t="n">
        <v>301</v>
      </c>
      <c r="B449" s="526" t="n"/>
      <c r="C449" s="393" t="n"/>
      <c r="D449" s="427" t="n"/>
      <c r="E449" s="526" t="n"/>
      <c r="F449" s="526" t="n"/>
      <c r="G449" s="527" t="n"/>
      <c r="H449" s="393" t="n"/>
      <c r="I449" s="528" t="n"/>
      <c r="J449" s="528" t="n"/>
      <c r="K449" s="528" t="n"/>
      <c r="L449" s="529" t="n"/>
      <c r="M449" s="529" t="n"/>
      <c r="N449" s="530" t="n"/>
      <c r="O449" s="531" t="n"/>
      <c r="P449" s="527" t="n"/>
      <c r="Q449" s="528" t="n"/>
      <c r="R449" s="528" t="n"/>
      <c r="S449" s="528" t="n"/>
      <c r="T449" s="543" t="n"/>
      <c r="U449" s="534" t="n"/>
      <c r="V449" s="516" t="n"/>
      <c r="W449" s="535" t="n"/>
      <c r="X449" s="536" t="n"/>
      <c r="Y449" s="519" t="n"/>
      <c r="Z449" s="683" t="n"/>
      <c r="AA449" s="684" t="n"/>
      <c r="AB449" s="684" t="n"/>
      <c r="AC449" s="684" t="n"/>
      <c r="AD449" s="685" t="n"/>
      <c r="AE449" s="686" t="n"/>
      <c r="AF449" s="684" t="n"/>
      <c r="AG449" s="687" t="n"/>
      <c r="AH449" s="687" t="n"/>
      <c r="AI449" s="684" t="n"/>
      <c r="AJ449" s="686" t="n"/>
      <c r="AK449" s="687" t="n"/>
      <c r="AL449" s="687" t="n"/>
      <c r="AM449" s="687" t="n"/>
      <c r="AN449" s="688" t="n"/>
      <c r="AO449" s="686" t="n"/>
      <c r="AP449" s="689" t="n"/>
      <c r="AQ449" s="689" t="n"/>
      <c r="AR449" s="689" t="n"/>
      <c r="AS449" s="690" t="n"/>
      <c r="AT449" s="691">
        <f>IF(AJ449&lt;&gt;"",(IF(AV449="到貨","",(AJ449-TODAY()))),"")</f>
        <v/>
      </c>
      <c r="AU449" s="692">
        <f>IF(AO449&lt;&gt;"",(AO449-AE449),"")</f>
        <v/>
      </c>
      <c r="AV449" s="86">
        <f>IF(AI449&lt;&gt;"",IF(AS449&lt;&gt;"","到貨","5次發包中"),IF(AH449&lt;&gt;"",IF(AR449&lt;&gt;"","到貨","4次發包中"),IF(AG449&lt;&gt;"",IF(AQ449&lt;&gt;"","到貨","3次發包中"),IF(AF449&lt;&gt;"",IF(AP449&lt;&gt;"","到貨","2次發包中"),IF(AE449&lt;&gt;"",IF(AO449&lt;&gt;"","到貨","發包中"),"")))))</f>
        <v/>
      </c>
      <c r="AW449" s="86">
        <f>IF(OR($AW$6=Y449),$AW$6,"")</f>
        <v/>
      </c>
      <c r="AX449" s="87">
        <f t="array" ref="AX449">IF(OR(AV449:AW449={"到貨","庫存"}),"完成","")</f>
        <v/>
      </c>
      <c r="AY449" s="92">
        <f>E449*$M$1</f>
        <v/>
      </c>
    </row>
    <row r="450" outlineLevel="1" ht="14.25" customHeight="1">
      <c r="A450" s="67" t="n">
        <v>301</v>
      </c>
      <c r="B450" s="526" t="n"/>
      <c r="C450" s="393" t="n"/>
      <c r="D450" s="427" t="n"/>
      <c r="E450" s="526" t="n"/>
      <c r="F450" s="526" t="n"/>
      <c r="G450" s="527" t="n"/>
      <c r="H450" s="393" t="n"/>
      <c r="I450" s="528" t="n"/>
      <c r="J450" s="528" t="n"/>
      <c r="K450" s="528" t="n"/>
      <c r="L450" s="529" t="n"/>
      <c r="M450" s="529" t="n"/>
      <c r="N450" s="530" t="n"/>
      <c r="O450" s="531" t="n"/>
      <c r="P450" s="527" t="n"/>
      <c r="Q450" s="528" t="n"/>
      <c r="R450" s="528" t="n"/>
      <c r="S450" s="528" t="n"/>
      <c r="T450" s="543" t="n"/>
      <c r="U450" s="534" t="n"/>
      <c r="V450" s="516" t="n"/>
      <c r="W450" s="535" t="n"/>
      <c r="X450" s="536" t="n"/>
      <c r="Y450" s="519" t="n"/>
      <c r="Z450" s="683" t="n"/>
      <c r="AA450" s="684" t="n"/>
      <c r="AB450" s="684" t="n"/>
      <c r="AC450" s="684" t="n"/>
      <c r="AD450" s="685" t="n"/>
      <c r="AE450" s="686" t="n"/>
      <c r="AF450" s="684" t="n"/>
      <c r="AG450" s="687" t="n"/>
      <c r="AH450" s="687" t="n"/>
      <c r="AI450" s="684" t="n"/>
      <c r="AJ450" s="686" t="n"/>
      <c r="AK450" s="687" t="n"/>
      <c r="AL450" s="687" t="n"/>
      <c r="AM450" s="687" t="n"/>
      <c r="AN450" s="688" t="n"/>
      <c r="AO450" s="686" t="n"/>
      <c r="AP450" s="689" t="n"/>
      <c r="AQ450" s="689" t="n"/>
      <c r="AR450" s="689" t="n"/>
      <c r="AS450" s="690" t="n"/>
      <c r="AT450" s="691">
        <f>IF(AJ450&lt;&gt;"",(IF(AV450="到貨","",(AJ450-TODAY()))),"")</f>
        <v/>
      </c>
      <c r="AU450" s="692">
        <f>IF(AO450&lt;&gt;"",(AO450-AE450),"")</f>
        <v/>
      </c>
      <c r="AV450" s="86">
        <f>IF(AI450&lt;&gt;"",IF(AS450&lt;&gt;"","到貨","5次發包中"),IF(AH450&lt;&gt;"",IF(AR450&lt;&gt;"","到貨","4次發包中"),IF(AG450&lt;&gt;"",IF(AQ450&lt;&gt;"","到貨","3次發包中"),IF(AF450&lt;&gt;"",IF(AP450&lt;&gt;"","到貨","2次發包中"),IF(AE450&lt;&gt;"",IF(AO450&lt;&gt;"","到貨","發包中"),"")))))</f>
        <v/>
      </c>
      <c r="AW450" s="86">
        <f>IF(OR($AW$6=Y450),$AW$6,"")</f>
        <v/>
      </c>
      <c r="AX450" s="87">
        <f t="array" ref="AX450">IF(OR(AV450:AW450={"到貨","庫存"}),"完成","")</f>
        <v/>
      </c>
      <c r="AY450" s="92">
        <f>E450*$M$1</f>
        <v/>
      </c>
    </row>
    <row r="451" outlineLevel="1" ht="14.25" customHeight="1">
      <c r="A451" s="67" t="n">
        <v>301</v>
      </c>
      <c r="B451" s="526" t="n"/>
      <c r="C451" s="393" t="n"/>
      <c r="D451" s="427" t="n"/>
      <c r="E451" s="526" t="n"/>
      <c r="F451" s="526" t="n"/>
      <c r="G451" s="527" t="n"/>
      <c r="H451" s="393" t="n"/>
      <c r="I451" s="528" t="n"/>
      <c r="J451" s="528" t="n"/>
      <c r="K451" s="528" t="n"/>
      <c r="L451" s="529" t="n"/>
      <c r="M451" s="529" t="n"/>
      <c r="N451" s="530" t="n"/>
      <c r="O451" s="531" t="n"/>
      <c r="P451" s="527" t="n"/>
      <c r="Q451" s="528" t="n"/>
      <c r="R451" s="528" t="n"/>
      <c r="S451" s="528" t="n"/>
      <c r="T451" s="543" t="n"/>
      <c r="U451" s="534" t="n"/>
      <c r="V451" s="516" t="n"/>
      <c r="W451" s="535" t="n"/>
      <c r="X451" s="536" t="n"/>
      <c r="Y451" s="519" t="n"/>
      <c r="Z451" s="683" t="n"/>
      <c r="AA451" s="684" t="n"/>
      <c r="AB451" s="684" t="n"/>
      <c r="AC451" s="684" t="n"/>
      <c r="AD451" s="685" t="n"/>
      <c r="AE451" s="686" t="n"/>
      <c r="AF451" s="684" t="n"/>
      <c r="AG451" s="687" t="n"/>
      <c r="AH451" s="687" t="n"/>
      <c r="AI451" s="684" t="n"/>
      <c r="AJ451" s="686" t="n"/>
      <c r="AK451" s="687" t="n"/>
      <c r="AL451" s="687" t="n"/>
      <c r="AM451" s="687" t="n"/>
      <c r="AN451" s="688" t="n"/>
      <c r="AO451" s="686" t="n"/>
      <c r="AP451" s="689" t="n"/>
      <c r="AQ451" s="689" t="n"/>
      <c r="AR451" s="689" t="n"/>
      <c r="AS451" s="690" t="n"/>
      <c r="AT451" s="691">
        <f>IF(AJ451&lt;&gt;"",(IF(AV451="到貨","",(AJ451-TODAY()))),"")</f>
        <v/>
      </c>
      <c r="AU451" s="692">
        <f>IF(AO451&lt;&gt;"",(AO451-AE451),"")</f>
        <v/>
      </c>
      <c r="AV451" s="86">
        <f>IF(AI451&lt;&gt;"",IF(AS451&lt;&gt;"","到貨","5次發包中"),IF(AH451&lt;&gt;"",IF(AR451&lt;&gt;"","到貨","4次發包中"),IF(AG451&lt;&gt;"",IF(AQ451&lt;&gt;"","到貨","3次發包中"),IF(AF451&lt;&gt;"",IF(AP451&lt;&gt;"","到貨","2次發包中"),IF(AE451&lt;&gt;"",IF(AO451&lt;&gt;"","到貨","發包中"),"")))))</f>
        <v/>
      </c>
      <c r="AW451" s="86">
        <f>IF(OR($AW$6=Y451),$AW$6,"")</f>
        <v/>
      </c>
      <c r="AX451" s="87">
        <f t="array" ref="AX451">IF(OR(AV451:AW451={"到貨","庫存"}),"完成","")</f>
        <v/>
      </c>
      <c r="AY451" s="92">
        <f>E451*$M$1</f>
        <v/>
      </c>
    </row>
    <row r="452" outlineLevel="1" ht="14.25" customHeight="1">
      <c r="A452" s="67" t="n">
        <v>301</v>
      </c>
      <c r="B452" s="526" t="n"/>
      <c r="C452" s="393" t="n"/>
      <c r="D452" s="427" t="n"/>
      <c r="E452" s="526" t="n"/>
      <c r="F452" s="526" t="n"/>
      <c r="G452" s="527" t="n"/>
      <c r="H452" s="393" t="n"/>
      <c r="I452" s="528" t="n"/>
      <c r="J452" s="528" t="n"/>
      <c r="K452" s="528" t="n"/>
      <c r="L452" s="529" t="n"/>
      <c r="M452" s="529" t="n"/>
      <c r="N452" s="530" t="n"/>
      <c r="O452" s="531" t="n"/>
      <c r="P452" s="527" t="n"/>
      <c r="Q452" s="528" t="n"/>
      <c r="R452" s="528" t="n"/>
      <c r="S452" s="528" t="n"/>
      <c r="T452" s="543" t="n"/>
      <c r="U452" s="534" t="n"/>
      <c r="V452" s="516" t="n"/>
      <c r="W452" s="535" t="n"/>
      <c r="X452" s="536" t="n"/>
      <c r="Y452" s="519" t="n"/>
      <c r="Z452" s="683" t="n"/>
      <c r="AA452" s="684" t="n"/>
      <c r="AB452" s="684" t="n"/>
      <c r="AC452" s="684" t="n"/>
      <c r="AD452" s="685" t="n"/>
      <c r="AE452" s="686" t="n"/>
      <c r="AF452" s="684" t="n"/>
      <c r="AG452" s="687" t="n"/>
      <c r="AH452" s="687" t="n"/>
      <c r="AI452" s="684" t="n"/>
      <c r="AJ452" s="686" t="n"/>
      <c r="AK452" s="687" t="n"/>
      <c r="AL452" s="687" t="n"/>
      <c r="AM452" s="687" t="n"/>
      <c r="AN452" s="688" t="n"/>
      <c r="AO452" s="686" t="n"/>
      <c r="AP452" s="689" t="n"/>
      <c r="AQ452" s="689" t="n"/>
      <c r="AR452" s="689" t="n"/>
      <c r="AS452" s="690" t="n"/>
      <c r="AT452" s="691">
        <f>IF(AJ452&lt;&gt;"",(IF(AV452="到貨","",(AJ452-TODAY()))),"")</f>
        <v/>
      </c>
      <c r="AU452" s="692">
        <f>IF(AO452&lt;&gt;"",(AO452-AE452),"")</f>
        <v/>
      </c>
      <c r="AV452" s="86">
        <f>IF(AI452&lt;&gt;"",IF(AS452&lt;&gt;"","到貨","5次發包中"),IF(AH452&lt;&gt;"",IF(AR452&lt;&gt;"","到貨","4次發包中"),IF(AG452&lt;&gt;"",IF(AQ452&lt;&gt;"","到貨","3次發包中"),IF(AF452&lt;&gt;"",IF(AP452&lt;&gt;"","到貨","2次發包中"),IF(AE452&lt;&gt;"",IF(AO452&lt;&gt;"","到貨","發包中"),"")))))</f>
        <v/>
      </c>
      <c r="AW452" s="86">
        <f>IF(OR($AW$6=Y452),$AW$6,"")</f>
        <v/>
      </c>
      <c r="AX452" s="87">
        <f t="array" ref="AX452">IF(OR(AV452:AW452={"到貨","庫存"}),"完成","")</f>
        <v/>
      </c>
      <c r="AY452" s="92">
        <f>E452*$M$1</f>
        <v/>
      </c>
    </row>
    <row r="453" outlineLevel="1" ht="14.25" customHeight="1">
      <c r="A453" s="67" t="n">
        <v>301</v>
      </c>
      <c r="B453" s="526" t="n"/>
      <c r="C453" s="393" t="n"/>
      <c r="D453" s="427" t="n"/>
      <c r="E453" s="526" t="n"/>
      <c r="F453" s="526" t="n"/>
      <c r="G453" s="527" t="n"/>
      <c r="H453" s="393" t="n"/>
      <c r="I453" s="528" t="n"/>
      <c r="J453" s="528" t="n"/>
      <c r="K453" s="528" t="n"/>
      <c r="L453" s="529" t="n"/>
      <c r="M453" s="529" t="n"/>
      <c r="N453" s="530" t="n"/>
      <c r="O453" s="531" t="n"/>
      <c r="P453" s="527" t="n"/>
      <c r="Q453" s="528" t="n"/>
      <c r="R453" s="528" t="n"/>
      <c r="S453" s="528" t="n"/>
      <c r="T453" s="543" t="n"/>
      <c r="U453" s="534" t="n"/>
      <c r="V453" s="516" t="n"/>
      <c r="W453" s="535" t="n"/>
      <c r="X453" s="536" t="n"/>
      <c r="Y453" s="519" t="n"/>
      <c r="Z453" s="683" t="n"/>
      <c r="AA453" s="684" t="n"/>
      <c r="AB453" s="684" t="n"/>
      <c r="AC453" s="684" t="n"/>
      <c r="AD453" s="685" t="n"/>
      <c r="AE453" s="686" t="n"/>
      <c r="AF453" s="684" t="n"/>
      <c r="AG453" s="687" t="n"/>
      <c r="AH453" s="687" t="n"/>
      <c r="AI453" s="684" t="n"/>
      <c r="AJ453" s="686" t="n"/>
      <c r="AK453" s="687" t="n"/>
      <c r="AL453" s="687" t="n"/>
      <c r="AM453" s="687" t="n"/>
      <c r="AN453" s="688" t="n"/>
      <c r="AO453" s="686" t="n"/>
      <c r="AP453" s="689" t="n"/>
      <c r="AQ453" s="689" t="n"/>
      <c r="AR453" s="689" t="n"/>
      <c r="AS453" s="690" t="n"/>
      <c r="AT453" s="691">
        <f>IF(AJ453&lt;&gt;"",(IF(AV453="到貨","",(AJ453-TODAY()))),"")</f>
        <v/>
      </c>
      <c r="AU453" s="692">
        <f>IF(AO453&lt;&gt;"",(AO453-AE453),"")</f>
        <v/>
      </c>
      <c r="AV453" s="86">
        <f>IF(AI453&lt;&gt;"",IF(AS453&lt;&gt;"","到貨","5次發包中"),IF(AH453&lt;&gt;"",IF(AR453&lt;&gt;"","到貨","4次發包中"),IF(AG453&lt;&gt;"",IF(AQ453&lt;&gt;"","到貨","3次發包中"),IF(AF453&lt;&gt;"",IF(AP453&lt;&gt;"","到貨","2次發包中"),IF(AE453&lt;&gt;"",IF(AO453&lt;&gt;"","到貨","發包中"),"")))))</f>
        <v/>
      </c>
      <c r="AW453" s="86">
        <f>IF(OR($AW$6=Y453),$AW$6,"")</f>
        <v/>
      </c>
      <c r="AX453" s="87">
        <f t="array" ref="AX453">IF(OR(AV453:AW453={"到貨","庫存"}),"完成","")</f>
        <v/>
      </c>
      <c r="AY453" s="92">
        <f>E453*$M$1</f>
        <v/>
      </c>
    </row>
    <row r="454" outlineLevel="1" ht="14.25" customHeight="1">
      <c r="A454" s="67" t="n">
        <v>301</v>
      </c>
      <c r="B454" s="526" t="n"/>
      <c r="C454" s="393" t="n"/>
      <c r="D454" s="427" t="n"/>
      <c r="E454" s="526" t="n"/>
      <c r="F454" s="526" t="n"/>
      <c r="G454" s="527" t="n"/>
      <c r="H454" s="393" t="n"/>
      <c r="I454" s="528" t="n"/>
      <c r="J454" s="528" t="n"/>
      <c r="K454" s="528" t="n"/>
      <c r="L454" s="529" t="n"/>
      <c r="M454" s="529" t="n"/>
      <c r="N454" s="530" t="n"/>
      <c r="O454" s="531" t="n"/>
      <c r="P454" s="527" t="n"/>
      <c r="Q454" s="528" t="n"/>
      <c r="R454" s="528" t="n"/>
      <c r="S454" s="528" t="n"/>
      <c r="T454" s="543" t="n"/>
      <c r="U454" s="534" t="n"/>
      <c r="V454" s="516" t="n"/>
      <c r="W454" s="535" t="n"/>
      <c r="X454" s="536" t="n"/>
      <c r="Y454" s="519" t="n"/>
      <c r="Z454" s="683" t="n"/>
      <c r="AA454" s="684" t="n"/>
      <c r="AB454" s="684" t="n"/>
      <c r="AC454" s="684" t="n"/>
      <c r="AD454" s="685" t="n"/>
      <c r="AE454" s="686" t="n"/>
      <c r="AF454" s="684" t="n"/>
      <c r="AG454" s="687" t="n"/>
      <c r="AH454" s="687" t="n"/>
      <c r="AI454" s="684" t="n"/>
      <c r="AJ454" s="686" t="n"/>
      <c r="AK454" s="687" t="n"/>
      <c r="AL454" s="687" t="n"/>
      <c r="AM454" s="687" t="n"/>
      <c r="AN454" s="688" t="n"/>
      <c r="AO454" s="686" t="n"/>
      <c r="AP454" s="689" t="n"/>
      <c r="AQ454" s="689" t="n"/>
      <c r="AR454" s="689" t="n"/>
      <c r="AS454" s="690" t="n"/>
      <c r="AT454" s="691">
        <f>IF(AJ454&lt;&gt;"",(IF(AV454="到貨","",(AJ454-TODAY()))),"")</f>
        <v/>
      </c>
      <c r="AU454" s="692">
        <f>IF(AO454&lt;&gt;"",(AO454-AE454),"")</f>
        <v/>
      </c>
      <c r="AV454" s="86">
        <f>IF(AI454&lt;&gt;"",IF(AS454&lt;&gt;"","到貨","5次發包中"),IF(AH454&lt;&gt;"",IF(AR454&lt;&gt;"","到貨","4次發包中"),IF(AG454&lt;&gt;"",IF(AQ454&lt;&gt;"","到貨","3次發包中"),IF(AF454&lt;&gt;"",IF(AP454&lt;&gt;"","到貨","2次發包中"),IF(AE454&lt;&gt;"",IF(AO454&lt;&gt;"","到貨","發包中"),"")))))</f>
        <v/>
      </c>
      <c r="AW454" s="86">
        <f>IF(OR($AW$6=Y454),$AW$6,"")</f>
        <v/>
      </c>
      <c r="AX454" s="87">
        <f t="array" ref="AX454">IF(OR(AV454:AW454={"到貨","庫存"}),"完成","")</f>
        <v/>
      </c>
      <c r="AY454" s="92">
        <f>E454*$M$1</f>
        <v/>
      </c>
    </row>
    <row r="455" outlineLevel="1" ht="14.25" customHeight="1">
      <c r="A455" s="67" t="n">
        <v>301</v>
      </c>
      <c r="B455" s="526" t="n"/>
      <c r="C455" s="393" t="n"/>
      <c r="D455" s="427" t="n"/>
      <c r="E455" s="526" t="n"/>
      <c r="F455" s="526" t="n"/>
      <c r="G455" s="527" t="n"/>
      <c r="H455" s="393" t="n"/>
      <c r="I455" s="528" t="n"/>
      <c r="J455" s="528" t="n"/>
      <c r="K455" s="528" t="n"/>
      <c r="L455" s="529" t="n"/>
      <c r="M455" s="529" t="n"/>
      <c r="N455" s="530" t="n"/>
      <c r="O455" s="531" t="n"/>
      <c r="P455" s="527" t="n"/>
      <c r="Q455" s="528" t="n"/>
      <c r="R455" s="528" t="n"/>
      <c r="S455" s="528" t="n"/>
      <c r="T455" s="543" t="n"/>
      <c r="U455" s="534" t="n"/>
      <c r="V455" s="516" t="n"/>
      <c r="W455" s="535" t="n"/>
      <c r="X455" s="536" t="n"/>
      <c r="Y455" s="519" t="n"/>
      <c r="Z455" s="683" t="n"/>
      <c r="AA455" s="684" t="n"/>
      <c r="AB455" s="684" t="n"/>
      <c r="AC455" s="684" t="n"/>
      <c r="AD455" s="685" t="n"/>
      <c r="AE455" s="686" t="n"/>
      <c r="AF455" s="684" t="n"/>
      <c r="AG455" s="687" t="n"/>
      <c r="AH455" s="687" t="n"/>
      <c r="AI455" s="684" t="n"/>
      <c r="AJ455" s="686" t="n"/>
      <c r="AK455" s="687" t="n"/>
      <c r="AL455" s="687" t="n"/>
      <c r="AM455" s="687" t="n"/>
      <c r="AN455" s="688" t="n"/>
      <c r="AO455" s="686" t="n"/>
      <c r="AP455" s="689" t="n"/>
      <c r="AQ455" s="689" t="n"/>
      <c r="AR455" s="689" t="n"/>
      <c r="AS455" s="690" t="n"/>
      <c r="AT455" s="691">
        <f>IF(AJ455&lt;&gt;"",(IF(AV455="到貨","",(AJ455-TODAY()))),"")</f>
        <v/>
      </c>
      <c r="AU455" s="692">
        <f>IF(AO455&lt;&gt;"",(AO455-AE455),"")</f>
        <v/>
      </c>
      <c r="AV455" s="86">
        <f>IF(AI455&lt;&gt;"",IF(AS455&lt;&gt;"","到貨","5次發包中"),IF(AH455&lt;&gt;"",IF(AR455&lt;&gt;"","到貨","4次發包中"),IF(AG455&lt;&gt;"",IF(AQ455&lt;&gt;"","到貨","3次發包中"),IF(AF455&lt;&gt;"",IF(AP455&lt;&gt;"","到貨","2次發包中"),IF(AE455&lt;&gt;"",IF(AO455&lt;&gt;"","到貨","發包中"),"")))))</f>
        <v/>
      </c>
      <c r="AW455" s="86">
        <f>IF(OR($AW$6=Y455),$AW$6,"")</f>
        <v/>
      </c>
      <c r="AX455" s="87">
        <f t="array" ref="AX455">IF(OR(AV455:AW455={"到貨","庫存"}),"完成","")</f>
        <v/>
      </c>
      <c r="AY455" s="92">
        <f>E455*$M$1</f>
        <v/>
      </c>
    </row>
    <row r="456" outlineLevel="1" ht="14.25" customHeight="1">
      <c r="A456" s="67" t="n">
        <v>301</v>
      </c>
      <c r="B456" s="526" t="n"/>
      <c r="C456" s="393" t="n"/>
      <c r="D456" s="427" t="n"/>
      <c r="E456" s="526" t="n"/>
      <c r="F456" s="526" t="n"/>
      <c r="G456" s="527" t="n"/>
      <c r="H456" s="393" t="n"/>
      <c r="I456" s="528" t="n"/>
      <c r="J456" s="528" t="n"/>
      <c r="K456" s="528" t="n"/>
      <c r="L456" s="529" t="n"/>
      <c r="M456" s="529" t="n"/>
      <c r="N456" s="530" t="n"/>
      <c r="O456" s="531" t="n"/>
      <c r="P456" s="527" t="n"/>
      <c r="Q456" s="528" t="n"/>
      <c r="R456" s="528" t="n"/>
      <c r="S456" s="528" t="n"/>
      <c r="T456" s="543" t="n"/>
      <c r="U456" s="534" t="n"/>
      <c r="V456" s="516" t="n"/>
      <c r="W456" s="535" t="n"/>
      <c r="X456" s="536" t="n"/>
      <c r="Y456" s="519" t="n"/>
      <c r="Z456" s="683" t="n"/>
      <c r="AA456" s="684" t="n"/>
      <c r="AB456" s="684" t="n"/>
      <c r="AC456" s="684" t="n"/>
      <c r="AD456" s="685" t="n"/>
      <c r="AE456" s="686" t="n"/>
      <c r="AF456" s="684" t="n"/>
      <c r="AG456" s="687" t="n"/>
      <c r="AH456" s="687" t="n"/>
      <c r="AI456" s="684" t="n"/>
      <c r="AJ456" s="686" t="n"/>
      <c r="AK456" s="687" t="n"/>
      <c r="AL456" s="687" t="n"/>
      <c r="AM456" s="687" t="n"/>
      <c r="AN456" s="688" t="n"/>
      <c r="AO456" s="686" t="n"/>
      <c r="AP456" s="689" t="n"/>
      <c r="AQ456" s="689" t="n"/>
      <c r="AR456" s="689" t="n"/>
      <c r="AS456" s="690" t="n"/>
      <c r="AT456" s="691">
        <f>IF(AJ456&lt;&gt;"",(IF(AV456="到貨","",(AJ456-TODAY()))),"")</f>
        <v/>
      </c>
      <c r="AU456" s="692">
        <f>IF(AO456&lt;&gt;"",(AO456-AE456),"")</f>
        <v/>
      </c>
      <c r="AV456" s="86">
        <f>IF(AI456&lt;&gt;"",IF(AS456&lt;&gt;"","到貨","5次發包中"),IF(AH456&lt;&gt;"",IF(AR456&lt;&gt;"","到貨","4次發包中"),IF(AG456&lt;&gt;"",IF(AQ456&lt;&gt;"","到貨","3次發包中"),IF(AF456&lt;&gt;"",IF(AP456&lt;&gt;"","到貨","2次發包中"),IF(AE456&lt;&gt;"",IF(AO456&lt;&gt;"","到貨","發包中"),"")))))</f>
        <v/>
      </c>
      <c r="AW456" s="86">
        <f>IF(OR($AW$6=Y456),$AW$6,"")</f>
        <v/>
      </c>
      <c r="AX456" s="87">
        <f t="array" ref="AX456">IF(OR(AV456:AW456={"到貨","庫存"}),"完成","")</f>
        <v/>
      </c>
      <c r="AY456" s="92">
        <f>E456*$M$1</f>
        <v/>
      </c>
    </row>
    <row r="457" outlineLevel="1" ht="14.25" customHeight="1">
      <c r="A457" s="67" t="n">
        <v>301</v>
      </c>
      <c r="B457" s="526" t="n"/>
      <c r="C457" s="393" t="n"/>
      <c r="D457" s="427" t="n"/>
      <c r="E457" s="526" t="n"/>
      <c r="F457" s="526" t="n"/>
      <c r="G457" s="527" t="n"/>
      <c r="H457" s="393" t="n"/>
      <c r="I457" s="528" t="n"/>
      <c r="J457" s="528" t="n"/>
      <c r="K457" s="528" t="n"/>
      <c r="L457" s="529" t="n"/>
      <c r="M457" s="529" t="n"/>
      <c r="N457" s="530" t="n"/>
      <c r="O457" s="531" t="n"/>
      <c r="P457" s="527" t="n"/>
      <c r="Q457" s="528" t="n"/>
      <c r="R457" s="528" t="n"/>
      <c r="S457" s="528" t="n"/>
      <c r="T457" s="543" t="n"/>
      <c r="U457" s="534" t="n"/>
      <c r="V457" s="516" t="n"/>
      <c r="W457" s="535" t="n"/>
      <c r="X457" s="536" t="n"/>
      <c r="Y457" s="519" t="n"/>
      <c r="Z457" s="683" t="n"/>
      <c r="AA457" s="684" t="n"/>
      <c r="AB457" s="684" t="n"/>
      <c r="AC457" s="684" t="n"/>
      <c r="AD457" s="685" t="n"/>
      <c r="AE457" s="686" t="n"/>
      <c r="AF457" s="684" t="n"/>
      <c r="AG457" s="687" t="n"/>
      <c r="AH457" s="687" t="n"/>
      <c r="AI457" s="684" t="n"/>
      <c r="AJ457" s="686" t="n"/>
      <c r="AK457" s="687" t="n"/>
      <c r="AL457" s="687" t="n"/>
      <c r="AM457" s="687" t="n"/>
      <c r="AN457" s="688" t="n"/>
      <c r="AO457" s="686" t="n"/>
      <c r="AP457" s="689" t="n"/>
      <c r="AQ457" s="689" t="n"/>
      <c r="AR457" s="689" t="n"/>
      <c r="AS457" s="690" t="n"/>
      <c r="AT457" s="691">
        <f>IF(AJ457&lt;&gt;"",(IF(AV457="到貨","",(AJ457-TODAY()))),"")</f>
        <v/>
      </c>
      <c r="AU457" s="692">
        <f>IF(AO457&lt;&gt;"",(AO457-AE457),"")</f>
        <v/>
      </c>
      <c r="AV457" s="86">
        <f>IF(AI457&lt;&gt;"",IF(AS457&lt;&gt;"","到貨","5次發包中"),IF(AH457&lt;&gt;"",IF(AR457&lt;&gt;"","到貨","4次發包中"),IF(AG457&lt;&gt;"",IF(AQ457&lt;&gt;"","到貨","3次發包中"),IF(AF457&lt;&gt;"",IF(AP457&lt;&gt;"","到貨","2次發包中"),IF(AE457&lt;&gt;"",IF(AO457&lt;&gt;"","到貨","發包中"),"")))))</f>
        <v/>
      </c>
      <c r="AW457" s="86">
        <f>IF(OR($AW$6=Y457),$AW$6,"")</f>
        <v/>
      </c>
      <c r="AX457" s="87">
        <f t="array" ref="AX457">IF(OR(AV457:AW457={"到貨","庫存"}),"完成","")</f>
        <v/>
      </c>
      <c r="AY457" s="92">
        <f>E457*$M$1</f>
        <v/>
      </c>
    </row>
    <row r="458" outlineLevel="1" ht="14.25" customHeight="1">
      <c r="A458" s="67" t="n">
        <v>301</v>
      </c>
      <c r="B458" s="526" t="n"/>
      <c r="C458" s="393" t="n"/>
      <c r="D458" s="427" t="n"/>
      <c r="E458" s="526" t="n"/>
      <c r="F458" s="526" t="n"/>
      <c r="G458" s="527" t="n"/>
      <c r="H458" s="393" t="n"/>
      <c r="I458" s="528" t="n"/>
      <c r="J458" s="528" t="n"/>
      <c r="K458" s="528" t="n"/>
      <c r="L458" s="529" t="n"/>
      <c r="M458" s="529" t="n"/>
      <c r="N458" s="530" t="n"/>
      <c r="O458" s="531" t="n"/>
      <c r="P458" s="527" t="n"/>
      <c r="Q458" s="528" t="n"/>
      <c r="R458" s="528" t="n"/>
      <c r="S458" s="528" t="n"/>
      <c r="T458" s="543" t="n"/>
      <c r="U458" s="534" t="n"/>
      <c r="V458" s="516" t="n"/>
      <c r="W458" s="535" t="n"/>
      <c r="X458" s="536" t="n"/>
      <c r="Y458" s="519" t="n"/>
      <c r="Z458" s="683" t="n"/>
      <c r="AA458" s="684" t="n"/>
      <c r="AB458" s="684" t="n"/>
      <c r="AC458" s="684" t="n"/>
      <c r="AD458" s="685" t="n"/>
      <c r="AE458" s="686" t="n"/>
      <c r="AF458" s="684" t="n"/>
      <c r="AG458" s="687" t="n"/>
      <c r="AH458" s="687" t="n"/>
      <c r="AI458" s="684" t="n"/>
      <c r="AJ458" s="686" t="n"/>
      <c r="AK458" s="687" t="n"/>
      <c r="AL458" s="687" t="n"/>
      <c r="AM458" s="687" t="n"/>
      <c r="AN458" s="688" t="n"/>
      <c r="AO458" s="686" t="n"/>
      <c r="AP458" s="689" t="n"/>
      <c r="AQ458" s="689" t="n"/>
      <c r="AR458" s="689" t="n"/>
      <c r="AS458" s="690" t="n"/>
      <c r="AT458" s="691">
        <f>IF(AJ458&lt;&gt;"",(IF(AV458="到貨","",(AJ458-TODAY()))),"")</f>
        <v/>
      </c>
      <c r="AU458" s="692">
        <f>IF(AO458&lt;&gt;"",(AO458-AE458),"")</f>
        <v/>
      </c>
      <c r="AV458" s="86">
        <f>IF(AI458&lt;&gt;"",IF(AS458&lt;&gt;"","到貨","5次發包中"),IF(AH458&lt;&gt;"",IF(AR458&lt;&gt;"","到貨","4次發包中"),IF(AG458&lt;&gt;"",IF(AQ458&lt;&gt;"","到貨","3次發包中"),IF(AF458&lt;&gt;"",IF(AP458&lt;&gt;"","到貨","2次發包中"),IF(AE458&lt;&gt;"",IF(AO458&lt;&gt;"","到貨","發包中"),"")))))</f>
        <v/>
      </c>
      <c r="AW458" s="86">
        <f>IF(OR($AW$6=Y458),$AW$6,"")</f>
        <v/>
      </c>
      <c r="AX458" s="87">
        <f t="array" ref="AX458">IF(OR(AV458:AW458={"到貨","庫存"}),"完成","")</f>
        <v/>
      </c>
      <c r="AY458" s="92">
        <f>E458*$M$1</f>
        <v/>
      </c>
    </row>
    <row r="459" outlineLevel="1" ht="14.25" customHeight="1">
      <c r="A459" s="67" t="n">
        <v>301</v>
      </c>
      <c r="B459" s="526" t="n"/>
      <c r="C459" s="393" t="n"/>
      <c r="D459" s="427" t="n"/>
      <c r="E459" s="526" t="n"/>
      <c r="F459" s="526" t="n"/>
      <c r="G459" s="527" t="n"/>
      <c r="H459" s="393" t="n"/>
      <c r="I459" s="528" t="n"/>
      <c r="J459" s="528" t="n"/>
      <c r="K459" s="528" t="n"/>
      <c r="L459" s="529" t="n"/>
      <c r="M459" s="529" t="n"/>
      <c r="N459" s="530" t="n"/>
      <c r="O459" s="531" t="n"/>
      <c r="P459" s="527" t="n"/>
      <c r="Q459" s="528" t="n"/>
      <c r="R459" s="528" t="n"/>
      <c r="S459" s="528" t="n"/>
      <c r="T459" s="543" t="n"/>
      <c r="U459" s="534" t="n"/>
      <c r="V459" s="516" t="n"/>
      <c r="W459" s="535" t="n"/>
      <c r="X459" s="536" t="n"/>
      <c r="Y459" s="519" t="n"/>
      <c r="Z459" s="683" t="n"/>
      <c r="AA459" s="684" t="n"/>
      <c r="AB459" s="684" t="n"/>
      <c r="AC459" s="684" t="n"/>
      <c r="AD459" s="685" t="n"/>
      <c r="AE459" s="686" t="n"/>
      <c r="AF459" s="684" t="n"/>
      <c r="AG459" s="687" t="n"/>
      <c r="AH459" s="687" t="n"/>
      <c r="AI459" s="684" t="n"/>
      <c r="AJ459" s="686" t="n"/>
      <c r="AK459" s="687" t="n"/>
      <c r="AL459" s="687" t="n"/>
      <c r="AM459" s="687" t="n"/>
      <c r="AN459" s="688" t="n"/>
      <c r="AO459" s="686" t="n"/>
      <c r="AP459" s="689" t="n"/>
      <c r="AQ459" s="689" t="n"/>
      <c r="AR459" s="689" t="n"/>
      <c r="AS459" s="690" t="n"/>
      <c r="AT459" s="691">
        <f>IF(AJ459&lt;&gt;"",(IF(AV459="到貨","",(AJ459-TODAY()))),"")</f>
        <v/>
      </c>
      <c r="AU459" s="692">
        <f>IF(AO459&lt;&gt;"",(AO459-AE459),"")</f>
        <v/>
      </c>
      <c r="AV459" s="86">
        <f>IF(AI459&lt;&gt;"",IF(AS459&lt;&gt;"","到貨","5次發包中"),IF(AH459&lt;&gt;"",IF(AR459&lt;&gt;"","到貨","4次發包中"),IF(AG459&lt;&gt;"",IF(AQ459&lt;&gt;"","到貨","3次發包中"),IF(AF459&lt;&gt;"",IF(AP459&lt;&gt;"","到貨","2次發包中"),IF(AE459&lt;&gt;"",IF(AO459&lt;&gt;"","到貨","發包中"),"")))))</f>
        <v/>
      </c>
      <c r="AW459" s="86">
        <f>IF(OR($AW$6=Y459),$AW$6,"")</f>
        <v/>
      </c>
      <c r="AX459" s="87">
        <f t="array" ref="AX459">IF(OR(AV459:AW459={"到貨","庫存"}),"完成","")</f>
        <v/>
      </c>
      <c r="AY459" s="92">
        <f>E459*$M$1</f>
        <v/>
      </c>
    </row>
    <row r="460" outlineLevel="1" ht="14.25" customHeight="1">
      <c r="A460" s="67" t="n">
        <v>301</v>
      </c>
      <c r="B460" s="526" t="n"/>
      <c r="C460" s="393" t="n"/>
      <c r="D460" s="427" t="n"/>
      <c r="E460" s="526" t="n"/>
      <c r="F460" s="526" t="n"/>
      <c r="G460" s="527" t="n"/>
      <c r="H460" s="393" t="n"/>
      <c r="I460" s="528" t="n"/>
      <c r="J460" s="528" t="n"/>
      <c r="K460" s="528" t="n"/>
      <c r="L460" s="529" t="n"/>
      <c r="M460" s="529" t="n"/>
      <c r="N460" s="530" t="n"/>
      <c r="O460" s="531" t="n"/>
      <c r="P460" s="527" t="n"/>
      <c r="Q460" s="528" t="n"/>
      <c r="R460" s="528" t="n"/>
      <c r="S460" s="528" t="n"/>
      <c r="T460" s="543" t="n"/>
      <c r="U460" s="534" t="n"/>
      <c r="V460" s="516" t="n"/>
      <c r="W460" s="535" t="n"/>
      <c r="X460" s="536" t="n"/>
      <c r="Y460" s="519" t="n"/>
      <c r="Z460" s="683" t="n"/>
      <c r="AA460" s="684" t="n"/>
      <c r="AB460" s="684" t="n"/>
      <c r="AC460" s="684" t="n"/>
      <c r="AD460" s="685" t="n"/>
      <c r="AE460" s="686" t="n"/>
      <c r="AF460" s="684" t="n"/>
      <c r="AG460" s="687" t="n"/>
      <c r="AH460" s="687" t="n"/>
      <c r="AI460" s="684" t="n"/>
      <c r="AJ460" s="686" t="n"/>
      <c r="AK460" s="687" t="n"/>
      <c r="AL460" s="687" t="n"/>
      <c r="AM460" s="687" t="n"/>
      <c r="AN460" s="688" t="n"/>
      <c r="AO460" s="686" t="n"/>
      <c r="AP460" s="689" t="n"/>
      <c r="AQ460" s="689" t="n"/>
      <c r="AR460" s="689" t="n"/>
      <c r="AS460" s="690" t="n"/>
      <c r="AT460" s="691">
        <f>IF(AJ460&lt;&gt;"",(IF(AV460="到貨","",(AJ460-TODAY()))),"")</f>
        <v/>
      </c>
      <c r="AU460" s="692">
        <f>IF(AO460&lt;&gt;"",(AO460-AE460),"")</f>
        <v/>
      </c>
      <c r="AV460" s="86">
        <f>IF(AI460&lt;&gt;"",IF(AS460&lt;&gt;"","到貨","5次發包中"),IF(AH460&lt;&gt;"",IF(AR460&lt;&gt;"","到貨","4次發包中"),IF(AG460&lt;&gt;"",IF(AQ460&lt;&gt;"","到貨","3次發包中"),IF(AF460&lt;&gt;"",IF(AP460&lt;&gt;"","到貨","2次發包中"),IF(AE460&lt;&gt;"",IF(AO460&lt;&gt;"","到貨","發包中"),"")))))</f>
        <v/>
      </c>
      <c r="AW460" s="86">
        <f>IF(OR($AW$6=Y460),$AW$6,"")</f>
        <v/>
      </c>
      <c r="AX460" s="87">
        <f t="array" ref="AX460">IF(OR(AV460:AW460={"到貨","庫存"}),"完成","")</f>
        <v/>
      </c>
      <c r="AY460" s="92">
        <f>E460*$M$1</f>
        <v/>
      </c>
    </row>
    <row r="461" outlineLevel="1" ht="14.25" customHeight="1">
      <c r="A461" s="67" t="n">
        <v>301</v>
      </c>
      <c r="B461" s="526" t="n"/>
      <c r="C461" s="393" t="n"/>
      <c r="D461" s="427" t="n"/>
      <c r="E461" s="526" t="n"/>
      <c r="F461" s="526" t="n"/>
      <c r="G461" s="527" t="n"/>
      <c r="H461" s="393" t="n"/>
      <c r="I461" s="528" t="n"/>
      <c r="J461" s="528" t="n"/>
      <c r="K461" s="528" t="n"/>
      <c r="L461" s="529" t="n"/>
      <c r="M461" s="529" t="n"/>
      <c r="N461" s="530" t="n"/>
      <c r="O461" s="531" t="n"/>
      <c r="P461" s="527" t="n"/>
      <c r="Q461" s="528" t="n"/>
      <c r="R461" s="528" t="n"/>
      <c r="S461" s="528" t="n"/>
      <c r="T461" s="543" t="n"/>
      <c r="U461" s="534" t="n"/>
      <c r="V461" s="516" t="n"/>
      <c r="W461" s="535" t="n"/>
      <c r="X461" s="536" t="n"/>
      <c r="Y461" s="519" t="n"/>
      <c r="Z461" s="683" t="n"/>
      <c r="AA461" s="684" t="n"/>
      <c r="AB461" s="684" t="n"/>
      <c r="AC461" s="684" t="n"/>
      <c r="AD461" s="685" t="n"/>
      <c r="AE461" s="686" t="n"/>
      <c r="AF461" s="684" t="n"/>
      <c r="AG461" s="687" t="n"/>
      <c r="AH461" s="687" t="n"/>
      <c r="AI461" s="684" t="n"/>
      <c r="AJ461" s="686" t="n"/>
      <c r="AK461" s="687" t="n"/>
      <c r="AL461" s="687" t="n"/>
      <c r="AM461" s="687" t="n"/>
      <c r="AN461" s="688" t="n"/>
      <c r="AO461" s="686" t="n"/>
      <c r="AP461" s="689" t="n"/>
      <c r="AQ461" s="689" t="n"/>
      <c r="AR461" s="689" t="n"/>
      <c r="AS461" s="690" t="n"/>
      <c r="AT461" s="691">
        <f>IF(AJ461&lt;&gt;"",(IF(AV461="到貨","",(AJ461-TODAY()))),"")</f>
        <v/>
      </c>
      <c r="AU461" s="692">
        <f>IF(AO461&lt;&gt;"",(AO461-AE461),"")</f>
        <v/>
      </c>
      <c r="AV461" s="86">
        <f>IF(AI461&lt;&gt;"",IF(AS461&lt;&gt;"","到貨","5次發包中"),IF(AH461&lt;&gt;"",IF(AR461&lt;&gt;"","到貨","4次發包中"),IF(AG461&lt;&gt;"",IF(AQ461&lt;&gt;"","到貨","3次發包中"),IF(AF461&lt;&gt;"",IF(AP461&lt;&gt;"","到貨","2次發包中"),IF(AE461&lt;&gt;"",IF(AO461&lt;&gt;"","到貨","發包中"),"")))))</f>
        <v/>
      </c>
      <c r="AW461" s="86">
        <f>IF(OR($AW$6=Y461),$AW$6,"")</f>
        <v/>
      </c>
      <c r="AX461" s="87">
        <f t="array" ref="AX461">IF(OR(AV461:AW461={"到貨","庫存"}),"完成","")</f>
        <v/>
      </c>
      <c r="AY461" s="92">
        <f>E461*$M$1</f>
        <v/>
      </c>
    </row>
    <row r="462" outlineLevel="1" ht="14.25" customHeight="1">
      <c r="A462" s="67" t="n">
        <v>301</v>
      </c>
      <c r="B462" s="526" t="n"/>
      <c r="C462" s="393" t="n"/>
      <c r="D462" s="427" t="n"/>
      <c r="E462" s="526" t="n"/>
      <c r="F462" s="526" t="n"/>
      <c r="G462" s="527" t="n"/>
      <c r="H462" s="393" t="n"/>
      <c r="I462" s="528" t="n"/>
      <c r="J462" s="528" t="n"/>
      <c r="K462" s="528" t="n"/>
      <c r="L462" s="529" t="n"/>
      <c r="M462" s="529" t="n"/>
      <c r="N462" s="530" t="n"/>
      <c r="O462" s="531" t="n"/>
      <c r="P462" s="527" t="n"/>
      <c r="Q462" s="528" t="n"/>
      <c r="R462" s="528" t="n"/>
      <c r="S462" s="528" t="n"/>
      <c r="T462" s="543" t="n"/>
      <c r="U462" s="534" t="n"/>
      <c r="V462" s="516" t="n"/>
      <c r="W462" s="535" t="n"/>
      <c r="X462" s="536" t="n"/>
      <c r="Y462" s="519" t="n"/>
      <c r="Z462" s="683" t="n"/>
      <c r="AA462" s="684" t="n"/>
      <c r="AB462" s="684" t="n"/>
      <c r="AC462" s="684" t="n"/>
      <c r="AD462" s="685" t="n"/>
      <c r="AE462" s="686" t="n"/>
      <c r="AF462" s="684" t="n"/>
      <c r="AG462" s="687" t="n"/>
      <c r="AH462" s="687" t="n"/>
      <c r="AI462" s="684" t="n"/>
      <c r="AJ462" s="686" t="n"/>
      <c r="AK462" s="687" t="n"/>
      <c r="AL462" s="687" t="n"/>
      <c r="AM462" s="687" t="n"/>
      <c r="AN462" s="688" t="n"/>
      <c r="AO462" s="686" t="n"/>
      <c r="AP462" s="689" t="n"/>
      <c r="AQ462" s="689" t="n"/>
      <c r="AR462" s="689" t="n"/>
      <c r="AS462" s="690" t="n"/>
      <c r="AT462" s="691">
        <f>IF(AJ462&lt;&gt;"",(IF(AV462="到貨","",(AJ462-TODAY()))),"")</f>
        <v/>
      </c>
      <c r="AU462" s="692">
        <f>IF(AO462&lt;&gt;"",(AO462-AE462),"")</f>
        <v/>
      </c>
      <c r="AV462" s="86">
        <f>IF(AI462&lt;&gt;"",IF(AS462&lt;&gt;"","到貨","5次發包中"),IF(AH462&lt;&gt;"",IF(AR462&lt;&gt;"","到貨","4次發包中"),IF(AG462&lt;&gt;"",IF(AQ462&lt;&gt;"","到貨","3次發包中"),IF(AF462&lt;&gt;"",IF(AP462&lt;&gt;"","到貨","2次發包中"),IF(AE462&lt;&gt;"",IF(AO462&lt;&gt;"","到貨","發包中"),"")))))</f>
        <v/>
      </c>
      <c r="AW462" s="86">
        <f>IF(OR($AW$6=Y462),$AW$6,"")</f>
        <v/>
      </c>
      <c r="AX462" s="87">
        <f t="array" ref="AX462">IF(OR(AV462:AW462={"到貨","庫存"}),"完成","")</f>
        <v/>
      </c>
      <c r="AY462" s="92">
        <f>E462*$M$1</f>
        <v/>
      </c>
    </row>
    <row r="463" outlineLevel="1" ht="14.25" customHeight="1">
      <c r="A463" s="67" t="n">
        <v>301</v>
      </c>
      <c r="B463" s="526" t="n"/>
      <c r="C463" s="393" t="n"/>
      <c r="D463" s="427" t="n"/>
      <c r="E463" s="526" t="n"/>
      <c r="F463" s="526" t="n"/>
      <c r="G463" s="527" t="n"/>
      <c r="H463" s="393" t="n"/>
      <c r="I463" s="528" t="n"/>
      <c r="J463" s="528" t="n"/>
      <c r="K463" s="528" t="n"/>
      <c r="L463" s="529" t="n"/>
      <c r="M463" s="529" t="n"/>
      <c r="N463" s="530" t="n"/>
      <c r="O463" s="531" t="n"/>
      <c r="P463" s="527" t="n"/>
      <c r="Q463" s="528" t="n"/>
      <c r="R463" s="528" t="n"/>
      <c r="S463" s="528" t="n"/>
      <c r="T463" s="543" t="n"/>
      <c r="U463" s="534" t="n"/>
      <c r="V463" s="516" t="n"/>
      <c r="W463" s="535" t="n"/>
      <c r="X463" s="536" t="n"/>
      <c r="Y463" s="519" t="n"/>
      <c r="Z463" s="683" t="n"/>
      <c r="AA463" s="684" t="n"/>
      <c r="AB463" s="684" t="n"/>
      <c r="AC463" s="684" t="n"/>
      <c r="AD463" s="685" t="n"/>
      <c r="AE463" s="686" t="n"/>
      <c r="AF463" s="684" t="n"/>
      <c r="AG463" s="687" t="n"/>
      <c r="AH463" s="687" t="n"/>
      <c r="AI463" s="684" t="n"/>
      <c r="AJ463" s="686" t="n"/>
      <c r="AK463" s="687" t="n"/>
      <c r="AL463" s="687" t="n"/>
      <c r="AM463" s="687" t="n"/>
      <c r="AN463" s="688" t="n"/>
      <c r="AO463" s="686" t="n"/>
      <c r="AP463" s="689" t="n"/>
      <c r="AQ463" s="689" t="n"/>
      <c r="AR463" s="689" t="n"/>
      <c r="AS463" s="690" t="n"/>
      <c r="AT463" s="691">
        <f>IF(AJ463&lt;&gt;"",(IF(AV463="到貨","",(AJ463-TODAY()))),"")</f>
        <v/>
      </c>
      <c r="AU463" s="692">
        <f>IF(AO463&lt;&gt;"",(AO463-AE463),"")</f>
        <v/>
      </c>
      <c r="AV463" s="86">
        <f>IF(AI463&lt;&gt;"",IF(AS463&lt;&gt;"","到貨","5次發包中"),IF(AH463&lt;&gt;"",IF(AR463&lt;&gt;"","到貨","4次發包中"),IF(AG463&lt;&gt;"",IF(AQ463&lt;&gt;"","到貨","3次發包中"),IF(AF463&lt;&gt;"",IF(AP463&lt;&gt;"","到貨","2次發包中"),IF(AE463&lt;&gt;"",IF(AO463&lt;&gt;"","到貨","發包中"),"")))))</f>
        <v/>
      </c>
      <c r="AW463" s="86">
        <f>IF(OR($AW$6=Y463),$AW$6,"")</f>
        <v/>
      </c>
      <c r="AX463" s="87">
        <f t="array" ref="AX463">IF(OR(AV463:AW463={"到貨","庫存"}),"完成","")</f>
        <v/>
      </c>
      <c r="AY463" s="92">
        <f>E463*$M$1</f>
        <v/>
      </c>
    </row>
    <row r="464" outlineLevel="1" ht="14.25" customHeight="1">
      <c r="A464" s="67" t="n">
        <v>301</v>
      </c>
      <c r="B464" s="526" t="n"/>
      <c r="C464" s="393" t="n"/>
      <c r="D464" s="427" t="n"/>
      <c r="E464" s="526" t="n"/>
      <c r="F464" s="526" t="n"/>
      <c r="G464" s="527" t="n"/>
      <c r="H464" s="393" t="n"/>
      <c r="I464" s="528" t="n"/>
      <c r="J464" s="528" t="n"/>
      <c r="K464" s="528" t="n"/>
      <c r="L464" s="529" t="n"/>
      <c r="M464" s="529" t="n"/>
      <c r="N464" s="530" t="n"/>
      <c r="O464" s="531" t="n"/>
      <c r="P464" s="527" t="n"/>
      <c r="Q464" s="528" t="n"/>
      <c r="R464" s="528" t="n"/>
      <c r="S464" s="528" t="n"/>
      <c r="T464" s="543" t="n"/>
      <c r="U464" s="534" t="n"/>
      <c r="V464" s="516" t="n"/>
      <c r="W464" s="535" t="n"/>
      <c r="X464" s="536" t="n"/>
      <c r="Y464" s="519" t="n"/>
      <c r="Z464" s="683" t="n"/>
      <c r="AA464" s="684" t="n"/>
      <c r="AB464" s="684" t="n"/>
      <c r="AC464" s="684" t="n"/>
      <c r="AD464" s="685" t="n"/>
      <c r="AE464" s="686" t="n"/>
      <c r="AF464" s="684" t="n"/>
      <c r="AG464" s="687" t="n"/>
      <c r="AH464" s="687" t="n"/>
      <c r="AI464" s="684" t="n"/>
      <c r="AJ464" s="686" t="n"/>
      <c r="AK464" s="687" t="n"/>
      <c r="AL464" s="687" t="n"/>
      <c r="AM464" s="687" t="n"/>
      <c r="AN464" s="688" t="n"/>
      <c r="AO464" s="686" t="n"/>
      <c r="AP464" s="689" t="n"/>
      <c r="AQ464" s="689" t="n"/>
      <c r="AR464" s="689" t="n"/>
      <c r="AS464" s="690" t="n"/>
      <c r="AT464" s="691">
        <f>IF(AJ464&lt;&gt;"",(IF(AV464="到貨","",(AJ464-TODAY()))),"")</f>
        <v/>
      </c>
      <c r="AU464" s="692">
        <f>IF(AO464&lt;&gt;"",(AO464-AE464),"")</f>
        <v/>
      </c>
      <c r="AV464" s="86">
        <f>IF(AI464&lt;&gt;"",IF(AS464&lt;&gt;"","到貨","5次發包中"),IF(AH464&lt;&gt;"",IF(AR464&lt;&gt;"","到貨","4次發包中"),IF(AG464&lt;&gt;"",IF(AQ464&lt;&gt;"","到貨","3次發包中"),IF(AF464&lt;&gt;"",IF(AP464&lt;&gt;"","到貨","2次發包中"),IF(AE464&lt;&gt;"",IF(AO464&lt;&gt;"","到貨","發包中"),"")))))</f>
        <v/>
      </c>
      <c r="AW464" s="86">
        <f>IF(OR($AW$6=Y464),$AW$6,"")</f>
        <v/>
      </c>
      <c r="AX464" s="87">
        <f t="array" ref="AX464">IF(OR(AV464:AW464={"到貨","庫存"}),"完成","")</f>
        <v/>
      </c>
      <c r="AY464" s="92">
        <f>E464*$M$1</f>
        <v/>
      </c>
    </row>
    <row r="465" outlineLevel="1" ht="14.25" customHeight="1">
      <c r="A465" s="67" t="n">
        <v>301</v>
      </c>
      <c r="B465" s="526" t="n"/>
      <c r="C465" s="393" t="n"/>
      <c r="D465" s="427" t="n"/>
      <c r="E465" s="526" t="n"/>
      <c r="F465" s="526" t="n"/>
      <c r="G465" s="527" t="n"/>
      <c r="H465" s="393" t="n"/>
      <c r="I465" s="528" t="n"/>
      <c r="J465" s="528" t="n"/>
      <c r="K465" s="528" t="n"/>
      <c r="L465" s="529" t="n"/>
      <c r="M465" s="529" t="n"/>
      <c r="N465" s="530" t="n"/>
      <c r="O465" s="531" t="n"/>
      <c r="P465" s="527" t="n"/>
      <c r="Q465" s="528" t="n"/>
      <c r="R465" s="528" t="n"/>
      <c r="S465" s="528" t="n"/>
      <c r="T465" s="543" t="n"/>
      <c r="U465" s="534" t="n"/>
      <c r="V465" s="516" t="n"/>
      <c r="W465" s="535" t="n"/>
      <c r="X465" s="536" t="n"/>
      <c r="Y465" s="519" t="n"/>
      <c r="Z465" s="683" t="n"/>
      <c r="AA465" s="684" t="n"/>
      <c r="AB465" s="684" t="n"/>
      <c r="AC465" s="684" t="n"/>
      <c r="AD465" s="685" t="n"/>
      <c r="AE465" s="686" t="n"/>
      <c r="AF465" s="684" t="n"/>
      <c r="AG465" s="687" t="n"/>
      <c r="AH465" s="687" t="n"/>
      <c r="AI465" s="684" t="n"/>
      <c r="AJ465" s="686" t="n"/>
      <c r="AK465" s="687" t="n"/>
      <c r="AL465" s="687" t="n"/>
      <c r="AM465" s="687" t="n"/>
      <c r="AN465" s="688" t="n"/>
      <c r="AO465" s="686" t="n"/>
      <c r="AP465" s="689" t="n"/>
      <c r="AQ465" s="689" t="n"/>
      <c r="AR465" s="689" t="n"/>
      <c r="AS465" s="690" t="n"/>
      <c r="AT465" s="691">
        <f>IF(AJ465&lt;&gt;"",(IF(AV465="到貨","",(AJ465-TODAY()))),"")</f>
        <v/>
      </c>
      <c r="AU465" s="692">
        <f>IF(AO465&lt;&gt;"",(AO465-AE465),"")</f>
        <v/>
      </c>
      <c r="AV465" s="86">
        <f>IF(AI465&lt;&gt;"",IF(AS465&lt;&gt;"","到貨","5次發包中"),IF(AH465&lt;&gt;"",IF(AR465&lt;&gt;"","到貨","4次發包中"),IF(AG465&lt;&gt;"",IF(AQ465&lt;&gt;"","到貨","3次發包中"),IF(AF465&lt;&gt;"",IF(AP465&lt;&gt;"","到貨","2次發包中"),IF(AE465&lt;&gt;"",IF(AO465&lt;&gt;"","到貨","發包中"),"")))))</f>
        <v/>
      </c>
      <c r="AW465" s="86">
        <f>IF(OR($AW$6=Y465),$AW$6,"")</f>
        <v/>
      </c>
      <c r="AX465" s="87">
        <f t="array" ref="AX465">IF(OR(AV465:AW465={"到貨","庫存"}),"完成","")</f>
        <v/>
      </c>
      <c r="AY465" s="92">
        <f>E465*$M$1</f>
        <v/>
      </c>
    </row>
    <row r="466" outlineLevel="1" ht="14.25" customHeight="1">
      <c r="A466" s="67" t="n">
        <v>301</v>
      </c>
      <c r="B466" s="526" t="n"/>
      <c r="C466" s="393" t="n"/>
      <c r="D466" s="427" t="n"/>
      <c r="E466" s="526" t="n"/>
      <c r="F466" s="526" t="n"/>
      <c r="G466" s="527" t="n"/>
      <c r="H466" s="393" t="n"/>
      <c r="I466" s="528" t="n"/>
      <c r="J466" s="528" t="n"/>
      <c r="K466" s="528" t="n"/>
      <c r="L466" s="529" t="n"/>
      <c r="M466" s="529" t="n"/>
      <c r="N466" s="530" t="n"/>
      <c r="O466" s="531" t="n"/>
      <c r="P466" s="527" t="n"/>
      <c r="Q466" s="528" t="n"/>
      <c r="R466" s="528" t="n"/>
      <c r="S466" s="528" t="n"/>
      <c r="T466" s="543" t="n"/>
      <c r="U466" s="534" t="n"/>
      <c r="V466" s="516" t="n"/>
      <c r="W466" s="535" t="n"/>
      <c r="X466" s="536" t="n"/>
      <c r="Y466" s="519" t="n"/>
      <c r="Z466" s="683" t="n"/>
      <c r="AA466" s="684" t="n"/>
      <c r="AB466" s="684" t="n"/>
      <c r="AC466" s="684" t="n"/>
      <c r="AD466" s="685" t="n"/>
      <c r="AE466" s="686" t="n"/>
      <c r="AF466" s="684" t="n"/>
      <c r="AG466" s="687" t="n"/>
      <c r="AH466" s="687" t="n"/>
      <c r="AI466" s="684" t="n"/>
      <c r="AJ466" s="686" t="n"/>
      <c r="AK466" s="687" t="n"/>
      <c r="AL466" s="687" t="n"/>
      <c r="AM466" s="687" t="n"/>
      <c r="AN466" s="688" t="n"/>
      <c r="AO466" s="686" t="n"/>
      <c r="AP466" s="689" t="n"/>
      <c r="AQ466" s="689" t="n"/>
      <c r="AR466" s="689" t="n"/>
      <c r="AS466" s="690" t="n"/>
      <c r="AT466" s="691">
        <f>IF(AJ466&lt;&gt;"",(IF(AV466="到貨","",(AJ466-TODAY()))),"")</f>
        <v/>
      </c>
      <c r="AU466" s="692">
        <f>IF(AO466&lt;&gt;"",(AO466-AE466),"")</f>
        <v/>
      </c>
      <c r="AV466" s="86">
        <f>IF(AI466&lt;&gt;"",IF(AS466&lt;&gt;"","到貨","5次發包中"),IF(AH466&lt;&gt;"",IF(AR466&lt;&gt;"","到貨","4次發包中"),IF(AG466&lt;&gt;"",IF(AQ466&lt;&gt;"","到貨","3次發包中"),IF(AF466&lt;&gt;"",IF(AP466&lt;&gt;"","到貨","2次發包中"),IF(AE466&lt;&gt;"",IF(AO466&lt;&gt;"","到貨","發包中"),"")))))</f>
        <v/>
      </c>
      <c r="AW466" s="86">
        <f>IF(OR($AW$6=Y466),$AW$6,"")</f>
        <v/>
      </c>
      <c r="AX466" s="87">
        <f t="array" ref="AX466">IF(OR(AV466:AW466={"到貨","庫存"}),"完成","")</f>
        <v/>
      </c>
      <c r="AY466" s="92">
        <f>E466*$M$1</f>
        <v/>
      </c>
    </row>
    <row r="467" outlineLevel="1" ht="14.25" customHeight="1">
      <c r="A467" s="67" t="n">
        <v>301</v>
      </c>
      <c r="B467" s="526" t="n"/>
      <c r="C467" s="393" t="n"/>
      <c r="D467" s="427" t="n"/>
      <c r="E467" s="526" t="n"/>
      <c r="F467" s="526" t="n"/>
      <c r="G467" s="527" t="n"/>
      <c r="H467" s="393" t="n"/>
      <c r="I467" s="528" t="n"/>
      <c r="J467" s="528" t="n"/>
      <c r="K467" s="528" t="n"/>
      <c r="L467" s="529" t="n"/>
      <c r="M467" s="529" t="n"/>
      <c r="N467" s="530" t="n"/>
      <c r="O467" s="531" t="n"/>
      <c r="P467" s="527" t="n"/>
      <c r="Q467" s="528" t="n"/>
      <c r="R467" s="528" t="n"/>
      <c r="S467" s="528" t="n"/>
      <c r="T467" s="543" t="n"/>
      <c r="U467" s="534" t="n"/>
      <c r="V467" s="516" t="n"/>
      <c r="W467" s="535" t="n"/>
      <c r="X467" s="536" t="n"/>
      <c r="Y467" s="519" t="n"/>
      <c r="Z467" s="683" t="n"/>
      <c r="AA467" s="684" t="n"/>
      <c r="AB467" s="684" t="n"/>
      <c r="AC467" s="684" t="n"/>
      <c r="AD467" s="685" t="n"/>
      <c r="AE467" s="686" t="n"/>
      <c r="AF467" s="684" t="n"/>
      <c r="AG467" s="687" t="n"/>
      <c r="AH467" s="687" t="n"/>
      <c r="AI467" s="684" t="n"/>
      <c r="AJ467" s="686" t="n"/>
      <c r="AK467" s="687" t="n"/>
      <c r="AL467" s="687" t="n"/>
      <c r="AM467" s="687" t="n"/>
      <c r="AN467" s="688" t="n"/>
      <c r="AO467" s="686" t="n"/>
      <c r="AP467" s="689" t="n"/>
      <c r="AQ467" s="689" t="n"/>
      <c r="AR467" s="689" t="n"/>
      <c r="AS467" s="690" t="n"/>
      <c r="AT467" s="691">
        <f>IF(AJ467&lt;&gt;"",(IF(AV467="到貨","",(AJ467-TODAY()))),"")</f>
        <v/>
      </c>
      <c r="AU467" s="692">
        <f>IF(AO467&lt;&gt;"",(AO467-AE467),"")</f>
        <v/>
      </c>
      <c r="AV467" s="86">
        <f>IF(AI467&lt;&gt;"",IF(AS467&lt;&gt;"","到貨","5次發包中"),IF(AH467&lt;&gt;"",IF(AR467&lt;&gt;"","到貨","4次發包中"),IF(AG467&lt;&gt;"",IF(AQ467&lt;&gt;"","到貨","3次發包中"),IF(AF467&lt;&gt;"",IF(AP467&lt;&gt;"","到貨","2次發包中"),IF(AE467&lt;&gt;"",IF(AO467&lt;&gt;"","到貨","發包中"),"")))))</f>
        <v/>
      </c>
      <c r="AW467" s="86">
        <f>IF(OR($AW$6=Y467),$AW$6,"")</f>
        <v/>
      </c>
      <c r="AX467" s="87">
        <f t="array" ref="AX467">IF(OR(AV467:AW467={"到貨","庫存"}),"完成","")</f>
        <v/>
      </c>
      <c r="AY467" s="92">
        <f>E467*$M$1</f>
        <v/>
      </c>
    </row>
    <row r="468" outlineLevel="1" ht="14.25" customHeight="1">
      <c r="A468" s="67" t="n">
        <v>301</v>
      </c>
      <c r="B468" s="526" t="n"/>
      <c r="C468" s="393" t="n"/>
      <c r="D468" s="427" t="n"/>
      <c r="E468" s="526" t="n"/>
      <c r="F468" s="526" t="n"/>
      <c r="G468" s="527" t="n"/>
      <c r="H468" s="393" t="n"/>
      <c r="I468" s="528" t="n"/>
      <c r="J468" s="528" t="n"/>
      <c r="K468" s="528" t="n"/>
      <c r="L468" s="529" t="n"/>
      <c r="M468" s="529" t="n"/>
      <c r="N468" s="530" t="n"/>
      <c r="O468" s="531" t="n"/>
      <c r="P468" s="527" t="n"/>
      <c r="Q468" s="528" t="n"/>
      <c r="R468" s="528" t="n"/>
      <c r="S468" s="528" t="n"/>
      <c r="T468" s="543" t="n"/>
      <c r="U468" s="534" t="n"/>
      <c r="V468" s="516" t="n"/>
      <c r="W468" s="535" t="n"/>
      <c r="X468" s="536" t="n"/>
      <c r="Y468" s="519" t="n"/>
      <c r="Z468" s="683" t="n"/>
      <c r="AA468" s="684" t="n"/>
      <c r="AB468" s="684" t="n"/>
      <c r="AC468" s="684" t="n"/>
      <c r="AD468" s="685" t="n"/>
      <c r="AE468" s="686" t="n"/>
      <c r="AF468" s="684" t="n"/>
      <c r="AG468" s="687" t="n"/>
      <c r="AH468" s="687" t="n"/>
      <c r="AI468" s="684" t="n"/>
      <c r="AJ468" s="686" t="n"/>
      <c r="AK468" s="687" t="n"/>
      <c r="AL468" s="687" t="n"/>
      <c r="AM468" s="687" t="n"/>
      <c r="AN468" s="688" t="n"/>
      <c r="AO468" s="686" t="n"/>
      <c r="AP468" s="689" t="n"/>
      <c r="AQ468" s="689" t="n"/>
      <c r="AR468" s="689" t="n"/>
      <c r="AS468" s="690" t="n"/>
      <c r="AT468" s="691">
        <f>IF(AJ468&lt;&gt;"",(IF(AV468="到貨","",(AJ468-TODAY()))),"")</f>
        <v/>
      </c>
      <c r="AU468" s="692">
        <f>IF(AO468&lt;&gt;"",(AO468-AE468),"")</f>
        <v/>
      </c>
      <c r="AV468" s="86">
        <f>IF(AI468&lt;&gt;"",IF(AS468&lt;&gt;"","到貨","5次發包中"),IF(AH468&lt;&gt;"",IF(AR468&lt;&gt;"","到貨","4次發包中"),IF(AG468&lt;&gt;"",IF(AQ468&lt;&gt;"","到貨","3次發包中"),IF(AF468&lt;&gt;"",IF(AP468&lt;&gt;"","到貨","2次發包中"),IF(AE468&lt;&gt;"",IF(AO468&lt;&gt;"","到貨","發包中"),"")))))</f>
        <v/>
      </c>
      <c r="AW468" s="86">
        <f>IF(OR($AW$6=Y468),$AW$6,"")</f>
        <v/>
      </c>
      <c r="AX468" s="87">
        <f t="array" ref="AX468">IF(OR(AV468:AW468={"到貨","庫存"}),"完成","")</f>
        <v/>
      </c>
      <c r="AY468" s="92">
        <f>E468*$M$1</f>
        <v/>
      </c>
    </row>
    <row r="469" outlineLevel="1" ht="14.25" customHeight="1">
      <c r="A469" s="67" t="n">
        <v>301</v>
      </c>
      <c r="B469" s="526" t="n"/>
      <c r="C469" s="393" t="n"/>
      <c r="D469" s="427" t="n"/>
      <c r="E469" s="526" t="n"/>
      <c r="F469" s="526" t="n"/>
      <c r="G469" s="527" t="n"/>
      <c r="H469" s="393" t="n"/>
      <c r="I469" s="528" t="n"/>
      <c r="J469" s="528" t="n"/>
      <c r="K469" s="528" t="n"/>
      <c r="L469" s="529" t="n"/>
      <c r="M469" s="529" t="n"/>
      <c r="N469" s="530" t="n"/>
      <c r="O469" s="531" t="n"/>
      <c r="P469" s="527" t="n"/>
      <c r="Q469" s="528" t="n"/>
      <c r="R469" s="528" t="n"/>
      <c r="S469" s="528" t="n"/>
      <c r="T469" s="543" t="n"/>
      <c r="U469" s="534" t="n"/>
      <c r="V469" s="516" t="n"/>
      <c r="W469" s="535" t="n"/>
      <c r="X469" s="536" t="n"/>
      <c r="Y469" s="519" t="n"/>
      <c r="Z469" s="683" t="n"/>
      <c r="AA469" s="684" t="n"/>
      <c r="AB469" s="684" t="n"/>
      <c r="AC469" s="684" t="n"/>
      <c r="AD469" s="685" t="n"/>
      <c r="AE469" s="686" t="n"/>
      <c r="AF469" s="684" t="n"/>
      <c r="AG469" s="687" t="n"/>
      <c r="AH469" s="687" t="n"/>
      <c r="AI469" s="684" t="n"/>
      <c r="AJ469" s="686" t="n"/>
      <c r="AK469" s="687" t="n"/>
      <c r="AL469" s="687" t="n"/>
      <c r="AM469" s="687" t="n"/>
      <c r="AN469" s="688" t="n"/>
      <c r="AO469" s="686" t="n"/>
      <c r="AP469" s="689" t="n"/>
      <c r="AQ469" s="689" t="n"/>
      <c r="AR469" s="689" t="n"/>
      <c r="AS469" s="690" t="n"/>
      <c r="AT469" s="691">
        <f>IF(AJ469&lt;&gt;"",(IF(AV469="到貨","",(AJ469-TODAY()))),"")</f>
        <v/>
      </c>
      <c r="AU469" s="692">
        <f>IF(AO469&lt;&gt;"",(AO469-AE469),"")</f>
        <v/>
      </c>
      <c r="AV469" s="86">
        <f>IF(AI469&lt;&gt;"",IF(AS469&lt;&gt;"","到貨","5次發包中"),IF(AH469&lt;&gt;"",IF(AR469&lt;&gt;"","到貨","4次發包中"),IF(AG469&lt;&gt;"",IF(AQ469&lt;&gt;"","到貨","3次發包中"),IF(AF469&lt;&gt;"",IF(AP469&lt;&gt;"","到貨","2次發包中"),IF(AE469&lt;&gt;"",IF(AO469&lt;&gt;"","到貨","發包中"),"")))))</f>
        <v/>
      </c>
      <c r="AW469" s="86">
        <f>IF(OR($AW$6=Y469),$AW$6,"")</f>
        <v/>
      </c>
      <c r="AX469" s="87">
        <f t="array" ref="AX469">IF(OR(AV469:AW469={"到貨","庫存"}),"完成","")</f>
        <v/>
      </c>
      <c r="AY469" s="92">
        <f>E469*$M$1</f>
        <v/>
      </c>
    </row>
    <row r="470" outlineLevel="1" ht="14.25" customHeight="1">
      <c r="A470" s="67" t="n">
        <v>301</v>
      </c>
      <c r="B470" s="526" t="n"/>
      <c r="C470" s="393" t="n"/>
      <c r="D470" s="427" t="n"/>
      <c r="E470" s="526" t="n"/>
      <c r="F470" s="526" t="n"/>
      <c r="G470" s="527" t="n"/>
      <c r="H470" s="393" t="n"/>
      <c r="I470" s="528" t="n"/>
      <c r="J470" s="528" t="n"/>
      <c r="K470" s="528" t="n"/>
      <c r="L470" s="529" t="n"/>
      <c r="M470" s="529" t="n"/>
      <c r="N470" s="530" t="n"/>
      <c r="O470" s="531" t="n"/>
      <c r="P470" s="527" t="n"/>
      <c r="Q470" s="528" t="n"/>
      <c r="R470" s="528" t="n"/>
      <c r="S470" s="528" t="n"/>
      <c r="T470" s="543" t="n"/>
      <c r="U470" s="534" t="n"/>
      <c r="V470" s="516" t="n"/>
      <c r="W470" s="535" t="n"/>
      <c r="X470" s="536" t="n"/>
      <c r="Y470" s="519" t="n"/>
      <c r="Z470" s="683" t="n"/>
      <c r="AA470" s="684" t="n"/>
      <c r="AB470" s="684" t="n"/>
      <c r="AC470" s="684" t="n"/>
      <c r="AD470" s="685" t="n"/>
      <c r="AE470" s="686" t="n"/>
      <c r="AF470" s="684" t="n"/>
      <c r="AG470" s="687" t="n"/>
      <c r="AH470" s="687" t="n"/>
      <c r="AI470" s="684" t="n"/>
      <c r="AJ470" s="686" t="n"/>
      <c r="AK470" s="687" t="n"/>
      <c r="AL470" s="687" t="n"/>
      <c r="AM470" s="687" t="n"/>
      <c r="AN470" s="688" t="n"/>
      <c r="AO470" s="686" t="n"/>
      <c r="AP470" s="689" t="n"/>
      <c r="AQ470" s="689" t="n"/>
      <c r="AR470" s="689" t="n"/>
      <c r="AS470" s="690" t="n"/>
      <c r="AT470" s="691">
        <f>IF(AJ470&lt;&gt;"",(IF(AV470="到貨","",(AJ470-TODAY()))),"")</f>
        <v/>
      </c>
      <c r="AU470" s="692">
        <f>IF(AO470&lt;&gt;"",(AO470-AE470),"")</f>
        <v/>
      </c>
      <c r="AV470" s="86">
        <f>IF(AI470&lt;&gt;"",IF(AS470&lt;&gt;"","到貨","5次發包中"),IF(AH470&lt;&gt;"",IF(AR470&lt;&gt;"","到貨","4次發包中"),IF(AG470&lt;&gt;"",IF(AQ470&lt;&gt;"","到貨","3次發包中"),IF(AF470&lt;&gt;"",IF(AP470&lt;&gt;"","到貨","2次發包中"),IF(AE470&lt;&gt;"",IF(AO470&lt;&gt;"","到貨","發包中"),"")))))</f>
        <v/>
      </c>
      <c r="AW470" s="86">
        <f>IF(OR($AW$6=Y470),$AW$6,"")</f>
        <v/>
      </c>
      <c r="AX470" s="87">
        <f t="array" ref="AX470">IF(OR(AV470:AW470={"到貨","庫存"}),"完成","")</f>
        <v/>
      </c>
      <c r="AY470" s="92">
        <f>E470*$M$1</f>
        <v/>
      </c>
    </row>
    <row r="471" outlineLevel="1" ht="14.25" customHeight="1">
      <c r="A471" s="67" t="n">
        <v>301</v>
      </c>
      <c r="B471" s="526" t="n"/>
      <c r="C471" s="393" t="n"/>
      <c r="D471" s="427" t="n"/>
      <c r="E471" s="526" t="n"/>
      <c r="F471" s="526" t="n"/>
      <c r="G471" s="527" t="n"/>
      <c r="H471" s="393" t="n"/>
      <c r="I471" s="528" t="n"/>
      <c r="J471" s="528" t="n"/>
      <c r="K471" s="528" t="n"/>
      <c r="L471" s="529" t="n"/>
      <c r="M471" s="529" t="n"/>
      <c r="N471" s="530" t="n"/>
      <c r="O471" s="531" t="n"/>
      <c r="P471" s="527" t="n"/>
      <c r="Q471" s="528" t="n"/>
      <c r="R471" s="528" t="n"/>
      <c r="S471" s="528" t="n"/>
      <c r="T471" s="543" t="n"/>
      <c r="U471" s="534" t="n"/>
      <c r="V471" s="516" t="n"/>
      <c r="W471" s="535" t="n"/>
      <c r="X471" s="536" t="n"/>
      <c r="Y471" s="519" t="n"/>
      <c r="Z471" s="683" t="n"/>
      <c r="AA471" s="684" t="n"/>
      <c r="AB471" s="684" t="n"/>
      <c r="AC471" s="684" t="n"/>
      <c r="AD471" s="685" t="n"/>
      <c r="AE471" s="686" t="n"/>
      <c r="AF471" s="684" t="n"/>
      <c r="AG471" s="687" t="n"/>
      <c r="AH471" s="687" t="n"/>
      <c r="AI471" s="684" t="n"/>
      <c r="AJ471" s="686" t="n"/>
      <c r="AK471" s="687" t="n"/>
      <c r="AL471" s="687" t="n"/>
      <c r="AM471" s="687" t="n"/>
      <c r="AN471" s="688" t="n"/>
      <c r="AO471" s="686" t="n"/>
      <c r="AP471" s="689" t="n"/>
      <c r="AQ471" s="689" t="n"/>
      <c r="AR471" s="689" t="n"/>
      <c r="AS471" s="690" t="n"/>
      <c r="AT471" s="691">
        <f>IF(AJ471&lt;&gt;"",(IF(AV471="到貨","",(AJ471-TODAY()))),"")</f>
        <v/>
      </c>
      <c r="AU471" s="692">
        <f>IF(AO471&lt;&gt;"",(AO471-AE471),"")</f>
        <v/>
      </c>
      <c r="AV471" s="86">
        <f>IF(AI471&lt;&gt;"",IF(AS471&lt;&gt;"","到貨","5次發包中"),IF(AH471&lt;&gt;"",IF(AR471&lt;&gt;"","到貨","4次發包中"),IF(AG471&lt;&gt;"",IF(AQ471&lt;&gt;"","到貨","3次發包中"),IF(AF471&lt;&gt;"",IF(AP471&lt;&gt;"","到貨","2次發包中"),IF(AE471&lt;&gt;"",IF(AO471&lt;&gt;"","到貨","發包中"),"")))))</f>
        <v/>
      </c>
      <c r="AW471" s="86">
        <f>IF(OR($AW$6=Y471),$AW$6,"")</f>
        <v/>
      </c>
      <c r="AX471" s="87">
        <f t="array" ref="AX471">IF(OR(AV471:AW471={"到貨","庫存"}),"完成","")</f>
        <v/>
      </c>
      <c r="AY471" s="92">
        <f>E471*$M$1</f>
        <v/>
      </c>
    </row>
    <row r="472" outlineLevel="1" ht="14.25" customHeight="1">
      <c r="A472" s="67" t="n">
        <v>301</v>
      </c>
      <c r="B472" s="526" t="n"/>
      <c r="C472" s="393" t="n"/>
      <c r="D472" s="427" t="n"/>
      <c r="E472" s="526" t="n"/>
      <c r="F472" s="526" t="n"/>
      <c r="G472" s="527" t="n"/>
      <c r="H472" s="393" t="n"/>
      <c r="I472" s="528" t="n"/>
      <c r="J472" s="528" t="n"/>
      <c r="K472" s="528" t="n"/>
      <c r="L472" s="529" t="n"/>
      <c r="M472" s="529" t="n"/>
      <c r="N472" s="530" t="n"/>
      <c r="O472" s="531" t="n"/>
      <c r="P472" s="527" t="n"/>
      <c r="Q472" s="528" t="n"/>
      <c r="R472" s="528" t="n"/>
      <c r="S472" s="528" t="n"/>
      <c r="T472" s="543" t="n"/>
      <c r="U472" s="534" t="n"/>
      <c r="V472" s="516" t="n"/>
      <c r="W472" s="535" t="n"/>
      <c r="X472" s="536" t="n"/>
      <c r="Y472" s="519" t="n"/>
      <c r="Z472" s="683" t="n"/>
      <c r="AA472" s="684" t="n"/>
      <c r="AB472" s="684" t="n"/>
      <c r="AC472" s="684" t="n"/>
      <c r="AD472" s="685" t="n"/>
      <c r="AE472" s="686" t="n"/>
      <c r="AF472" s="684" t="n"/>
      <c r="AG472" s="687" t="n"/>
      <c r="AH472" s="687" t="n"/>
      <c r="AI472" s="684" t="n"/>
      <c r="AJ472" s="686" t="n"/>
      <c r="AK472" s="687" t="n"/>
      <c r="AL472" s="687" t="n"/>
      <c r="AM472" s="687" t="n"/>
      <c r="AN472" s="688" t="n"/>
      <c r="AO472" s="686" t="n"/>
      <c r="AP472" s="689" t="n"/>
      <c r="AQ472" s="689" t="n"/>
      <c r="AR472" s="689" t="n"/>
      <c r="AS472" s="690" t="n"/>
      <c r="AT472" s="691">
        <f>IF(AJ472&lt;&gt;"",(IF(AV472="到貨","",(AJ472-TODAY()))),"")</f>
        <v/>
      </c>
      <c r="AU472" s="692">
        <f>IF(AO472&lt;&gt;"",(AO472-AE472),"")</f>
        <v/>
      </c>
      <c r="AV472" s="86">
        <f>IF(AI472&lt;&gt;"",IF(AS472&lt;&gt;"","到貨","5次發包中"),IF(AH472&lt;&gt;"",IF(AR472&lt;&gt;"","到貨","4次發包中"),IF(AG472&lt;&gt;"",IF(AQ472&lt;&gt;"","到貨","3次發包中"),IF(AF472&lt;&gt;"",IF(AP472&lt;&gt;"","到貨","2次發包中"),IF(AE472&lt;&gt;"",IF(AO472&lt;&gt;"","到貨","發包中"),"")))))</f>
        <v/>
      </c>
      <c r="AW472" s="86">
        <f>IF(OR($AW$6=Y472),$AW$6,"")</f>
        <v/>
      </c>
      <c r="AX472" s="87">
        <f t="array" ref="AX472">IF(OR(AV472:AW472={"到貨","庫存"}),"完成","")</f>
        <v/>
      </c>
      <c r="AY472" s="92">
        <f>E472*$M$1</f>
        <v/>
      </c>
    </row>
    <row r="473" outlineLevel="1" ht="14.25" customHeight="1">
      <c r="A473" s="67" t="n">
        <v>301</v>
      </c>
      <c r="B473" s="526" t="n"/>
      <c r="C473" s="393" t="n"/>
      <c r="D473" s="427" t="n"/>
      <c r="E473" s="526" t="n"/>
      <c r="F473" s="526" t="n"/>
      <c r="G473" s="527" t="n"/>
      <c r="H473" s="393" t="n"/>
      <c r="I473" s="528" t="n"/>
      <c r="J473" s="528" t="n"/>
      <c r="K473" s="528" t="n"/>
      <c r="L473" s="529" t="n"/>
      <c r="M473" s="529" t="n"/>
      <c r="N473" s="530" t="n"/>
      <c r="O473" s="531" t="n"/>
      <c r="P473" s="527" t="n"/>
      <c r="Q473" s="528" t="n"/>
      <c r="R473" s="528" t="n"/>
      <c r="S473" s="528" t="n"/>
      <c r="T473" s="543" t="n"/>
      <c r="U473" s="534" t="n"/>
      <c r="V473" s="516" t="n"/>
      <c r="W473" s="535" t="n"/>
      <c r="X473" s="536" t="n"/>
      <c r="Y473" s="519" t="n"/>
      <c r="Z473" s="683" t="n"/>
      <c r="AA473" s="684" t="n"/>
      <c r="AB473" s="684" t="n"/>
      <c r="AC473" s="684" t="n"/>
      <c r="AD473" s="685" t="n"/>
      <c r="AE473" s="686" t="n"/>
      <c r="AF473" s="684" t="n"/>
      <c r="AG473" s="687" t="n"/>
      <c r="AH473" s="687" t="n"/>
      <c r="AI473" s="684" t="n"/>
      <c r="AJ473" s="686" t="n"/>
      <c r="AK473" s="687" t="n"/>
      <c r="AL473" s="687" t="n"/>
      <c r="AM473" s="687" t="n"/>
      <c r="AN473" s="688" t="n"/>
      <c r="AO473" s="686" t="n"/>
      <c r="AP473" s="689" t="n"/>
      <c r="AQ473" s="689" t="n"/>
      <c r="AR473" s="689" t="n"/>
      <c r="AS473" s="690" t="n"/>
      <c r="AT473" s="691">
        <f>IF(AJ473&lt;&gt;"",(IF(AV473="到貨","",(AJ473-TODAY()))),"")</f>
        <v/>
      </c>
      <c r="AU473" s="692">
        <f>IF(AO473&lt;&gt;"",(AO473-AE473),"")</f>
        <v/>
      </c>
      <c r="AV473" s="86">
        <f>IF(AI473&lt;&gt;"",IF(AS473&lt;&gt;"","到貨","5次發包中"),IF(AH473&lt;&gt;"",IF(AR473&lt;&gt;"","到貨","4次發包中"),IF(AG473&lt;&gt;"",IF(AQ473&lt;&gt;"","到貨","3次發包中"),IF(AF473&lt;&gt;"",IF(AP473&lt;&gt;"","到貨","2次發包中"),IF(AE473&lt;&gt;"",IF(AO473&lt;&gt;"","到貨","發包中"),"")))))</f>
        <v/>
      </c>
      <c r="AW473" s="86">
        <f>IF(OR($AW$6=Y473),$AW$6,"")</f>
        <v/>
      </c>
      <c r="AX473" s="87">
        <f t="array" ref="AX473">IF(OR(AV473:AW473={"到貨","庫存"}),"完成","")</f>
        <v/>
      </c>
      <c r="AY473" s="92">
        <f>E473*$M$1</f>
        <v/>
      </c>
    </row>
    <row r="474" outlineLevel="1" ht="14.25" customHeight="1">
      <c r="A474" s="67" t="n">
        <v>301</v>
      </c>
      <c r="B474" s="526" t="n"/>
      <c r="C474" s="393" t="n"/>
      <c r="D474" s="427" t="n"/>
      <c r="E474" s="526" t="n"/>
      <c r="F474" s="526" t="n"/>
      <c r="G474" s="527" t="n"/>
      <c r="H474" s="393" t="n"/>
      <c r="I474" s="528" t="n"/>
      <c r="J474" s="528" t="n"/>
      <c r="K474" s="528" t="n"/>
      <c r="L474" s="529" t="n"/>
      <c r="M474" s="529" t="n"/>
      <c r="N474" s="530" t="n"/>
      <c r="O474" s="531" t="n"/>
      <c r="P474" s="527" t="n"/>
      <c r="Q474" s="528" t="n"/>
      <c r="R474" s="528" t="n"/>
      <c r="S474" s="528" t="n"/>
      <c r="T474" s="543" t="n"/>
      <c r="U474" s="534" t="n"/>
      <c r="V474" s="516" t="n"/>
      <c r="W474" s="535" t="n"/>
      <c r="X474" s="536" t="n"/>
      <c r="Y474" s="519" t="n"/>
      <c r="Z474" s="683" t="n"/>
      <c r="AA474" s="684" t="n"/>
      <c r="AB474" s="684" t="n"/>
      <c r="AC474" s="684" t="n"/>
      <c r="AD474" s="685" t="n"/>
      <c r="AE474" s="686" t="n"/>
      <c r="AF474" s="684" t="n"/>
      <c r="AG474" s="687" t="n"/>
      <c r="AH474" s="687" t="n"/>
      <c r="AI474" s="684" t="n"/>
      <c r="AJ474" s="686" t="n"/>
      <c r="AK474" s="687" t="n"/>
      <c r="AL474" s="687" t="n"/>
      <c r="AM474" s="687" t="n"/>
      <c r="AN474" s="688" t="n"/>
      <c r="AO474" s="686" t="n"/>
      <c r="AP474" s="689" t="n"/>
      <c r="AQ474" s="689" t="n"/>
      <c r="AR474" s="689" t="n"/>
      <c r="AS474" s="690" t="n"/>
      <c r="AT474" s="691">
        <f>IF(AJ474&lt;&gt;"",(IF(AV474="到貨","",(AJ474-TODAY()))),"")</f>
        <v/>
      </c>
      <c r="AU474" s="692">
        <f>IF(AO474&lt;&gt;"",(AO474-AE474),"")</f>
        <v/>
      </c>
      <c r="AV474" s="86">
        <f>IF(AI474&lt;&gt;"",IF(AS474&lt;&gt;"","到貨","5次發包中"),IF(AH474&lt;&gt;"",IF(AR474&lt;&gt;"","到貨","4次發包中"),IF(AG474&lt;&gt;"",IF(AQ474&lt;&gt;"","到貨","3次發包中"),IF(AF474&lt;&gt;"",IF(AP474&lt;&gt;"","到貨","2次發包中"),IF(AE474&lt;&gt;"",IF(AO474&lt;&gt;"","到貨","發包中"),"")))))</f>
        <v/>
      </c>
      <c r="AW474" s="86">
        <f>IF(OR($AW$6=Y474),$AW$6,"")</f>
        <v/>
      </c>
      <c r="AX474" s="87">
        <f t="array" ref="AX474">IF(OR(AV474:AW474={"到貨","庫存"}),"完成","")</f>
        <v/>
      </c>
      <c r="AY474" s="92">
        <f>E474*$M$1</f>
        <v/>
      </c>
    </row>
    <row r="475" outlineLevel="1" ht="14.25" customHeight="1">
      <c r="A475" s="67" t="n">
        <v>301</v>
      </c>
      <c r="B475" s="526" t="n"/>
      <c r="C475" s="393" t="n"/>
      <c r="D475" s="427" t="n"/>
      <c r="E475" s="526" t="n"/>
      <c r="F475" s="526" t="n"/>
      <c r="G475" s="527" t="n"/>
      <c r="H475" s="393" t="n"/>
      <c r="I475" s="528" t="n"/>
      <c r="J475" s="528" t="n"/>
      <c r="K475" s="528" t="n"/>
      <c r="L475" s="529" t="n"/>
      <c r="M475" s="529" t="n"/>
      <c r="N475" s="530" t="n"/>
      <c r="O475" s="531" t="n"/>
      <c r="P475" s="527" t="n"/>
      <c r="Q475" s="528" t="n"/>
      <c r="R475" s="528" t="n"/>
      <c r="S475" s="528" t="n"/>
      <c r="T475" s="543" t="n"/>
      <c r="U475" s="534" t="n"/>
      <c r="V475" s="516" t="n"/>
      <c r="W475" s="535" t="n"/>
      <c r="X475" s="536" t="n"/>
      <c r="Y475" s="519" t="n"/>
      <c r="Z475" s="683" t="n"/>
      <c r="AA475" s="684" t="n"/>
      <c r="AB475" s="684" t="n"/>
      <c r="AC475" s="684" t="n"/>
      <c r="AD475" s="685" t="n"/>
      <c r="AE475" s="686" t="n"/>
      <c r="AF475" s="684" t="n"/>
      <c r="AG475" s="687" t="n"/>
      <c r="AH475" s="687" t="n"/>
      <c r="AI475" s="684" t="n"/>
      <c r="AJ475" s="686" t="n"/>
      <c r="AK475" s="687" t="n"/>
      <c r="AL475" s="687" t="n"/>
      <c r="AM475" s="687" t="n"/>
      <c r="AN475" s="688" t="n"/>
      <c r="AO475" s="686" t="n"/>
      <c r="AP475" s="689" t="n"/>
      <c r="AQ475" s="689" t="n"/>
      <c r="AR475" s="689" t="n"/>
      <c r="AS475" s="690" t="n"/>
      <c r="AT475" s="691">
        <f>IF(AJ475&lt;&gt;"",(IF(AV475="到貨","",(AJ475-TODAY()))),"")</f>
        <v/>
      </c>
      <c r="AU475" s="692">
        <f>IF(AO475&lt;&gt;"",(AO475-AE475),"")</f>
        <v/>
      </c>
      <c r="AV475" s="86">
        <f>IF(AI475&lt;&gt;"",IF(AS475&lt;&gt;"","到貨","5次發包中"),IF(AH475&lt;&gt;"",IF(AR475&lt;&gt;"","到貨","4次發包中"),IF(AG475&lt;&gt;"",IF(AQ475&lt;&gt;"","到貨","3次發包中"),IF(AF475&lt;&gt;"",IF(AP475&lt;&gt;"","到貨","2次發包中"),IF(AE475&lt;&gt;"",IF(AO475&lt;&gt;"","到貨","發包中"),"")))))</f>
        <v/>
      </c>
      <c r="AW475" s="86">
        <f>IF(OR($AW$6=Y475),$AW$6,"")</f>
        <v/>
      </c>
      <c r="AX475" s="87">
        <f t="array" ref="AX475">IF(OR(AV475:AW475={"到貨","庫存"}),"完成","")</f>
        <v/>
      </c>
      <c r="AY475" s="92">
        <f>E475*$M$1</f>
        <v/>
      </c>
    </row>
    <row r="476" outlineLevel="1" ht="14.25" customHeight="1">
      <c r="A476" s="67" t="n">
        <v>301</v>
      </c>
      <c r="B476" s="526" t="n"/>
      <c r="C476" s="393" t="n"/>
      <c r="D476" s="427" t="n"/>
      <c r="E476" s="526" t="n"/>
      <c r="F476" s="526" t="n"/>
      <c r="G476" s="527" t="n"/>
      <c r="H476" s="393" t="n"/>
      <c r="I476" s="528" t="n"/>
      <c r="J476" s="528" t="n"/>
      <c r="K476" s="528" t="n"/>
      <c r="L476" s="529" t="n"/>
      <c r="M476" s="529" t="n"/>
      <c r="N476" s="530" t="n"/>
      <c r="O476" s="531" t="n"/>
      <c r="P476" s="527" t="n"/>
      <c r="Q476" s="528" t="n"/>
      <c r="R476" s="528" t="n"/>
      <c r="S476" s="528" t="n"/>
      <c r="T476" s="543" t="n"/>
      <c r="U476" s="534" t="n"/>
      <c r="V476" s="516" t="n"/>
      <c r="W476" s="535" t="n"/>
      <c r="X476" s="536" t="n"/>
      <c r="Y476" s="519" t="n"/>
      <c r="Z476" s="683" t="n"/>
      <c r="AA476" s="684" t="n"/>
      <c r="AB476" s="684" t="n"/>
      <c r="AC476" s="684" t="n"/>
      <c r="AD476" s="685" t="n"/>
      <c r="AE476" s="686" t="n"/>
      <c r="AF476" s="684" t="n"/>
      <c r="AG476" s="687" t="n"/>
      <c r="AH476" s="687" t="n"/>
      <c r="AI476" s="684" t="n"/>
      <c r="AJ476" s="686" t="n"/>
      <c r="AK476" s="687" t="n"/>
      <c r="AL476" s="687" t="n"/>
      <c r="AM476" s="687" t="n"/>
      <c r="AN476" s="688" t="n"/>
      <c r="AO476" s="686" t="n"/>
      <c r="AP476" s="689" t="n"/>
      <c r="AQ476" s="689" t="n"/>
      <c r="AR476" s="689" t="n"/>
      <c r="AS476" s="690" t="n"/>
      <c r="AT476" s="691">
        <f>IF(AJ476&lt;&gt;"",(IF(AV476="到貨","",(AJ476-TODAY()))),"")</f>
        <v/>
      </c>
      <c r="AU476" s="692">
        <f>IF(AO476&lt;&gt;"",(AO476-AE476),"")</f>
        <v/>
      </c>
      <c r="AV476" s="86">
        <f>IF(AI476&lt;&gt;"",IF(AS476&lt;&gt;"","到貨","5次發包中"),IF(AH476&lt;&gt;"",IF(AR476&lt;&gt;"","到貨","4次發包中"),IF(AG476&lt;&gt;"",IF(AQ476&lt;&gt;"","到貨","3次發包中"),IF(AF476&lt;&gt;"",IF(AP476&lt;&gt;"","到貨","2次發包中"),IF(AE476&lt;&gt;"",IF(AO476&lt;&gt;"","到貨","發包中"),"")))))</f>
        <v/>
      </c>
      <c r="AW476" s="86">
        <f>IF(OR($AW$6=Y476),$AW$6,"")</f>
        <v/>
      </c>
      <c r="AX476" s="87">
        <f t="array" ref="AX476">IF(OR(AV476:AW476={"到貨","庫存"}),"完成","")</f>
        <v/>
      </c>
      <c r="AY476" s="92">
        <f>E476*$M$1</f>
        <v/>
      </c>
    </row>
    <row r="477" outlineLevel="1" ht="14.25" customHeight="1">
      <c r="A477" s="67" t="n">
        <v>301</v>
      </c>
      <c r="B477" s="526" t="n"/>
      <c r="C477" s="393" t="n"/>
      <c r="D477" s="427" t="n"/>
      <c r="E477" s="526" t="n"/>
      <c r="F477" s="526" t="n"/>
      <c r="G477" s="527" t="n"/>
      <c r="H477" s="393" t="n"/>
      <c r="I477" s="528" t="n"/>
      <c r="J477" s="528" t="n"/>
      <c r="K477" s="528" t="n"/>
      <c r="L477" s="529" t="n"/>
      <c r="M477" s="529" t="n"/>
      <c r="N477" s="530" t="n"/>
      <c r="O477" s="531" t="n"/>
      <c r="P477" s="527" t="n"/>
      <c r="Q477" s="528" t="n"/>
      <c r="R477" s="528" t="n"/>
      <c r="S477" s="528" t="n"/>
      <c r="T477" s="543" t="n"/>
      <c r="U477" s="534" t="n"/>
      <c r="V477" s="516" t="n"/>
      <c r="W477" s="535" t="n"/>
      <c r="X477" s="536" t="n"/>
      <c r="Y477" s="519" t="n"/>
      <c r="Z477" s="683" t="n"/>
      <c r="AA477" s="684" t="n"/>
      <c r="AB477" s="684" t="n"/>
      <c r="AC477" s="684" t="n"/>
      <c r="AD477" s="685" t="n"/>
      <c r="AE477" s="686" t="n"/>
      <c r="AF477" s="684" t="n"/>
      <c r="AG477" s="687" t="n"/>
      <c r="AH477" s="687" t="n"/>
      <c r="AI477" s="684" t="n"/>
      <c r="AJ477" s="686" t="n"/>
      <c r="AK477" s="687" t="n"/>
      <c r="AL477" s="687" t="n"/>
      <c r="AM477" s="687" t="n"/>
      <c r="AN477" s="688" t="n"/>
      <c r="AO477" s="686" t="n"/>
      <c r="AP477" s="689" t="n"/>
      <c r="AQ477" s="689" t="n"/>
      <c r="AR477" s="689" t="n"/>
      <c r="AS477" s="690" t="n"/>
      <c r="AT477" s="691">
        <f>IF(AJ477&lt;&gt;"",(IF(AV477="到貨","",(AJ477-TODAY()))),"")</f>
        <v/>
      </c>
      <c r="AU477" s="692">
        <f>IF(AO477&lt;&gt;"",(AO477-AE477),"")</f>
        <v/>
      </c>
      <c r="AV477" s="86">
        <f>IF(AI477&lt;&gt;"",IF(AS477&lt;&gt;"","到貨","5次發包中"),IF(AH477&lt;&gt;"",IF(AR477&lt;&gt;"","到貨","4次發包中"),IF(AG477&lt;&gt;"",IF(AQ477&lt;&gt;"","到貨","3次發包中"),IF(AF477&lt;&gt;"",IF(AP477&lt;&gt;"","到貨","2次發包中"),IF(AE477&lt;&gt;"",IF(AO477&lt;&gt;"","到貨","發包中"),"")))))</f>
        <v/>
      </c>
      <c r="AW477" s="86">
        <f>IF(OR($AW$6=Y477),$AW$6,"")</f>
        <v/>
      </c>
      <c r="AX477" s="87">
        <f t="array" ref="AX477">IF(OR(AV477:AW477={"到貨","庫存"}),"完成","")</f>
        <v/>
      </c>
      <c r="AY477" s="92">
        <f>E477*$M$1</f>
        <v/>
      </c>
    </row>
    <row r="478" outlineLevel="1" ht="14.25" customHeight="1">
      <c r="A478" s="67" t="n">
        <v>301</v>
      </c>
      <c r="B478" s="526" t="n"/>
      <c r="C478" s="393" t="n"/>
      <c r="D478" s="427" t="n"/>
      <c r="E478" s="526" t="n"/>
      <c r="F478" s="526" t="n"/>
      <c r="G478" s="527" t="n"/>
      <c r="H478" s="393" t="n"/>
      <c r="I478" s="528" t="n"/>
      <c r="J478" s="528" t="n"/>
      <c r="K478" s="528" t="n"/>
      <c r="L478" s="529" t="n"/>
      <c r="M478" s="529" t="n"/>
      <c r="N478" s="530" t="n"/>
      <c r="O478" s="531" t="n"/>
      <c r="P478" s="527" t="n"/>
      <c r="Q478" s="528" t="n"/>
      <c r="R478" s="528" t="n"/>
      <c r="S478" s="528" t="n"/>
      <c r="T478" s="543" t="n"/>
      <c r="U478" s="534" t="n"/>
      <c r="V478" s="516" t="n"/>
      <c r="W478" s="535" t="n"/>
      <c r="X478" s="536" t="n"/>
      <c r="Y478" s="519" t="n"/>
      <c r="Z478" s="683" t="n"/>
      <c r="AA478" s="684" t="n"/>
      <c r="AB478" s="684" t="n"/>
      <c r="AC478" s="684" t="n"/>
      <c r="AD478" s="685" t="n"/>
      <c r="AE478" s="686" t="n"/>
      <c r="AF478" s="684" t="n"/>
      <c r="AG478" s="687" t="n"/>
      <c r="AH478" s="687" t="n"/>
      <c r="AI478" s="684" t="n"/>
      <c r="AJ478" s="686" t="n"/>
      <c r="AK478" s="687" t="n"/>
      <c r="AL478" s="687" t="n"/>
      <c r="AM478" s="687" t="n"/>
      <c r="AN478" s="688" t="n"/>
      <c r="AO478" s="686" t="n"/>
      <c r="AP478" s="689" t="n"/>
      <c r="AQ478" s="689" t="n"/>
      <c r="AR478" s="689" t="n"/>
      <c r="AS478" s="690" t="n"/>
      <c r="AT478" s="691">
        <f>IF(AJ478&lt;&gt;"",(IF(AV478="到貨","",(AJ478-TODAY()))),"")</f>
        <v/>
      </c>
      <c r="AU478" s="692">
        <f>IF(AO478&lt;&gt;"",(AO478-AE478),"")</f>
        <v/>
      </c>
      <c r="AV478" s="86">
        <f>IF(AI478&lt;&gt;"",IF(AS478&lt;&gt;"","到貨","5次發包中"),IF(AH478&lt;&gt;"",IF(AR478&lt;&gt;"","到貨","4次發包中"),IF(AG478&lt;&gt;"",IF(AQ478&lt;&gt;"","到貨","3次發包中"),IF(AF478&lt;&gt;"",IF(AP478&lt;&gt;"","到貨","2次發包中"),IF(AE478&lt;&gt;"",IF(AO478&lt;&gt;"","到貨","發包中"),"")))))</f>
        <v/>
      </c>
      <c r="AW478" s="86">
        <f>IF(OR($AW$6=Y478),$AW$6,"")</f>
        <v/>
      </c>
      <c r="AX478" s="87">
        <f t="array" ref="AX478">IF(OR(AV478:AW478={"到貨","庫存"}),"完成","")</f>
        <v/>
      </c>
      <c r="AY478" s="92">
        <f>E478*$M$1</f>
        <v/>
      </c>
    </row>
    <row r="479" outlineLevel="1" ht="14.25" customHeight="1">
      <c r="A479" s="67" t="n">
        <v>301</v>
      </c>
      <c r="B479" s="526" t="n"/>
      <c r="C479" s="393" t="n"/>
      <c r="D479" s="427" t="n"/>
      <c r="E479" s="526" t="n"/>
      <c r="F479" s="526" t="n"/>
      <c r="G479" s="527" t="n"/>
      <c r="H479" s="393" t="n"/>
      <c r="I479" s="528" t="n"/>
      <c r="J479" s="528" t="n"/>
      <c r="K479" s="528" t="n"/>
      <c r="L479" s="529" t="n"/>
      <c r="M479" s="529" t="n"/>
      <c r="N479" s="530" t="n"/>
      <c r="O479" s="531" t="n"/>
      <c r="P479" s="527" t="n"/>
      <c r="Q479" s="528" t="n"/>
      <c r="R479" s="528" t="n"/>
      <c r="S479" s="528" t="n"/>
      <c r="T479" s="543" t="n"/>
      <c r="U479" s="534" t="n"/>
      <c r="V479" s="516" t="n"/>
      <c r="W479" s="535" t="n"/>
      <c r="X479" s="536" t="n"/>
      <c r="Y479" s="519" t="n"/>
      <c r="Z479" s="683" t="n"/>
      <c r="AA479" s="684" t="n"/>
      <c r="AB479" s="684" t="n"/>
      <c r="AC479" s="684" t="n"/>
      <c r="AD479" s="685" t="n"/>
      <c r="AE479" s="686" t="n"/>
      <c r="AF479" s="684" t="n"/>
      <c r="AG479" s="687" t="n"/>
      <c r="AH479" s="687" t="n"/>
      <c r="AI479" s="684" t="n"/>
      <c r="AJ479" s="686" t="n"/>
      <c r="AK479" s="687" t="n"/>
      <c r="AL479" s="687" t="n"/>
      <c r="AM479" s="687" t="n"/>
      <c r="AN479" s="688" t="n"/>
      <c r="AO479" s="686" t="n"/>
      <c r="AP479" s="689" t="n"/>
      <c r="AQ479" s="689" t="n"/>
      <c r="AR479" s="689" t="n"/>
      <c r="AS479" s="690" t="n"/>
      <c r="AT479" s="691">
        <f>IF(AJ479&lt;&gt;"",(IF(AV479="到貨","",(AJ479-TODAY()))),"")</f>
        <v/>
      </c>
      <c r="AU479" s="692">
        <f>IF(AO479&lt;&gt;"",(AO479-AE479),"")</f>
        <v/>
      </c>
      <c r="AV479" s="86">
        <f>IF(AI479&lt;&gt;"",IF(AS479&lt;&gt;"","到貨","5次發包中"),IF(AH479&lt;&gt;"",IF(AR479&lt;&gt;"","到貨","4次發包中"),IF(AG479&lt;&gt;"",IF(AQ479&lt;&gt;"","到貨","3次發包中"),IF(AF479&lt;&gt;"",IF(AP479&lt;&gt;"","到貨","2次發包中"),IF(AE479&lt;&gt;"",IF(AO479&lt;&gt;"","到貨","發包中"),"")))))</f>
        <v/>
      </c>
      <c r="AW479" s="86">
        <f>IF(OR($AW$6=Y479),$AW$6,"")</f>
        <v/>
      </c>
      <c r="AX479" s="87">
        <f t="array" ref="AX479">IF(OR(AV479:AW479={"到貨","庫存"}),"完成","")</f>
        <v/>
      </c>
      <c r="AY479" s="92">
        <f>E479*$M$1</f>
        <v/>
      </c>
    </row>
    <row r="480" outlineLevel="1" ht="14.25" customHeight="1">
      <c r="A480" s="67" t="n">
        <v>301</v>
      </c>
      <c r="B480" s="526" t="n"/>
      <c r="C480" s="393" t="n"/>
      <c r="D480" s="427" t="n"/>
      <c r="E480" s="526" t="n"/>
      <c r="F480" s="526" t="n"/>
      <c r="G480" s="527" t="n"/>
      <c r="H480" s="393" t="n"/>
      <c r="I480" s="528" t="n"/>
      <c r="J480" s="528" t="n"/>
      <c r="K480" s="528" t="n"/>
      <c r="L480" s="529" t="n"/>
      <c r="M480" s="529" t="n"/>
      <c r="N480" s="530" t="n"/>
      <c r="O480" s="531" t="n"/>
      <c r="P480" s="527" t="n"/>
      <c r="Q480" s="528" t="n"/>
      <c r="R480" s="528" t="n"/>
      <c r="S480" s="528" t="n"/>
      <c r="T480" s="543" t="n"/>
      <c r="U480" s="534" t="n"/>
      <c r="V480" s="516" t="n"/>
      <c r="W480" s="535" t="n"/>
      <c r="X480" s="536" t="n"/>
      <c r="Y480" s="519" t="n"/>
      <c r="Z480" s="683" t="n"/>
      <c r="AA480" s="684" t="n"/>
      <c r="AB480" s="684" t="n"/>
      <c r="AC480" s="684" t="n"/>
      <c r="AD480" s="685" t="n"/>
      <c r="AE480" s="686" t="n"/>
      <c r="AF480" s="684" t="n"/>
      <c r="AG480" s="687" t="n"/>
      <c r="AH480" s="687" t="n"/>
      <c r="AI480" s="684" t="n"/>
      <c r="AJ480" s="686" t="n"/>
      <c r="AK480" s="687" t="n"/>
      <c r="AL480" s="687" t="n"/>
      <c r="AM480" s="687" t="n"/>
      <c r="AN480" s="688" t="n"/>
      <c r="AO480" s="686" t="n"/>
      <c r="AP480" s="689" t="n"/>
      <c r="AQ480" s="689" t="n"/>
      <c r="AR480" s="689" t="n"/>
      <c r="AS480" s="690" t="n"/>
      <c r="AT480" s="691">
        <f>IF(AJ480&lt;&gt;"",(IF(AV480="到貨","",(AJ480-TODAY()))),"")</f>
        <v/>
      </c>
      <c r="AU480" s="692">
        <f>IF(AO480&lt;&gt;"",(AO480-AE480),"")</f>
        <v/>
      </c>
      <c r="AV480" s="86">
        <f>IF(AI480&lt;&gt;"",IF(AS480&lt;&gt;"","到貨","5次發包中"),IF(AH480&lt;&gt;"",IF(AR480&lt;&gt;"","到貨","4次發包中"),IF(AG480&lt;&gt;"",IF(AQ480&lt;&gt;"","到貨","3次發包中"),IF(AF480&lt;&gt;"",IF(AP480&lt;&gt;"","到貨","2次發包中"),IF(AE480&lt;&gt;"",IF(AO480&lt;&gt;"","到貨","發包中"),"")))))</f>
        <v/>
      </c>
      <c r="AW480" s="86">
        <f>IF(OR($AW$6=Y480),$AW$6,"")</f>
        <v/>
      </c>
      <c r="AX480" s="87">
        <f t="array" ref="AX480">IF(OR(AV480:AW480={"到貨","庫存"}),"完成","")</f>
        <v/>
      </c>
      <c r="AY480" s="92">
        <f>E480*$M$1</f>
        <v/>
      </c>
    </row>
    <row r="481" outlineLevel="1" ht="14.25" customHeight="1">
      <c r="A481" s="67" t="n">
        <v>301</v>
      </c>
      <c r="B481" s="526" t="n"/>
      <c r="C481" s="393" t="n"/>
      <c r="D481" s="427" t="n"/>
      <c r="E481" s="526" t="n"/>
      <c r="F481" s="526" t="n"/>
      <c r="G481" s="527" t="n"/>
      <c r="H481" s="393" t="n"/>
      <c r="I481" s="528" t="n"/>
      <c r="J481" s="528" t="n"/>
      <c r="K481" s="528" t="n"/>
      <c r="L481" s="529" t="n"/>
      <c r="M481" s="529" t="n"/>
      <c r="N481" s="530" t="n"/>
      <c r="O481" s="531" t="n"/>
      <c r="P481" s="527" t="n"/>
      <c r="Q481" s="528" t="n"/>
      <c r="R481" s="528" t="n"/>
      <c r="S481" s="528" t="n"/>
      <c r="T481" s="543" t="n"/>
      <c r="U481" s="534" t="n"/>
      <c r="V481" s="516" t="n"/>
      <c r="W481" s="535" t="n"/>
      <c r="X481" s="536" t="n"/>
      <c r="Y481" s="519" t="n"/>
      <c r="Z481" s="683" t="n"/>
      <c r="AA481" s="684" t="n"/>
      <c r="AB481" s="684" t="n"/>
      <c r="AC481" s="684" t="n"/>
      <c r="AD481" s="685" t="n"/>
      <c r="AE481" s="686" t="n"/>
      <c r="AF481" s="684" t="n"/>
      <c r="AG481" s="687" t="n"/>
      <c r="AH481" s="687" t="n"/>
      <c r="AI481" s="684" t="n"/>
      <c r="AJ481" s="686" t="n"/>
      <c r="AK481" s="687" t="n"/>
      <c r="AL481" s="687" t="n"/>
      <c r="AM481" s="687" t="n"/>
      <c r="AN481" s="688" t="n"/>
      <c r="AO481" s="686" t="n"/>
      <c r="AP481" s="689" t="n"/>
      <c r="AQ481" s="689" t="n"/>
      <c r="AR481" s="689" t="n"/>
      <c r="AS481" s="690" t="n"/>
      <c r="AT481" s="691">
        <f>IF(AJ481&lt;&gt;"",(IF(AV481="到貨","",(AJ481-TODAY()))),"")</f>
        <v/>
      </c>
      <c r="AU481" s="692">
        <f>IF(AO481&lt;&gt;"",(AO481-AE481),"")</f>
        <v/>
      </c>
      <c r="AV481" s="86">
        <f>IF(AI481&lt;&gt;"",IF(AS481&lt;&gt;"","到貨","5次發包中"),IF(AH481&lt;&gt;"",IF(AR481&lt;&gt;"","到貨","4次發包中"),IF(AG481&lt;&gt;"",IF(AQ481&lt;&gt;"","到貨","3次發包中"),IF(AF481&lt;&gt;"",IF(AP481&lt;&gt;"","到貨","2次發包中"),IF(AE481&lt;&gt;"",IF(AO481&lt;&gt;"","到貨","發包中"),"")))))</f>
        <v/>
      </c>
      <c r="AW481" s="86">
        <f>IF(OR($AW$6=Y481),$AW$6,"")</f>
        <v/>
      </c>
      <c r="AX481" s="87">
        <f t="array" ref="AX481">IF(OR(AV481:AW481={"到貨","庫存"}),"完成","")</f>
        <v/>
      </c>
      <c r="AY481" s="92">
        <f>E481*$M$1</f>
        <v/>
      </c>
    </row>
    <row r="482" outlineLevel="1" ht="14.25" customHeight="1">
      <c r="A482" s="67" t="n">
        <v>301</v>
      </c>
      <c r="B482" s="526" t="n"/>
      <c r="C482" s="393" t="n"/>
      <c r="D482" s="427" t="n"/>
      <c r="E482" s="526" t="n"/>
      <c r="F482" s="526" t="n"/>
      <c r="G482" s="527" t="n"/>
      <c r="H482" s="393" t="n"/>
      <c r="I482" s="528" t="n"/>
      <c r="J482" s="528" t="n"/>
      <c r="K482" s="528" t="n"/>
      <c r="L482" s="529" t="n"/>
      <c r="M482" s="529" t="n"/>
      <c r="N482" s="530" t="n"/>
      <c r="O482" s="531" t="n"/>
      <c r="P482" s="527" t="n"/>
      <c r="Q482" s="528" t="n"/>
      <c r="R482" s="528" t="n"/>
      <c r="S482" s="528" t="n"/>
      <c r="T482" s="543" t="n"/>
      <c r="U482" s="534" t="n"/>
      <c r="V482" s="516" t="n"/>
      <c r="W482" s="535" t="n"/>
      <c r="X482" s="536" t="n"/>
      <c r="Y482" s="519" t="n"/>
      <c r="Z482" s="683" t="n"/>
      <c r="AA482" s="684" t="n"/>
      <c r="AB482" s="684" t="n"/>
      <c r="AC482" s="684" t="n"/>
      <c r="AD482" s="685" t="n"/>
      <c r="AE482" s="686" t="n"/>
      <c r="AF482" s="684" t="n"/>
      <c r="AG482" s="687" t="n"/>
      <c r="AH482" s="687" t="n"/>
      <c r="AI482" s="684" t="n"/>
      <c r="AJ482" s="686" t="n"/>
      <c r="AK482" s="687" t="n"/>
      <c r="AL482" s="687" t="n"/>
      <c r="AM482" s="687" t="n"/>
      <c r="AN482" s="688" t="n"/>
      <c r="AO482" s="686" t="n"/>
      <c r="AP482" s="689" t="n"/>
      <c r="AQ482" s="689" t="n"/>
      <c r="AR482" s="689" t="n"/>
      <c r="AS482" s="690" t="n"/>
      <c r="AT482" s="691">
        <f>IF(AJ482&lt;&gt;"",(IF(AV482="到貨","",(AJ482-TODAY()))),"")</f>
        <v/>
      </c>
      <c r="AU482" s="692">
        <f>IF(AO482&lt;&gt;"",(AO482-AE482),"")</f>
        <v/>
      </c>
      <c r="AV482" s="86">
        <f>IF(AI482&lt;&gt;"",IF(AS482&lt;&gt;"","到貨","5次發包中"),IF(AH482&lt;&gt;"",IF(AR482&lt;&gt;"","到貨","4次發包中"),IF(AG482&lt;&gt;"",IF(AQ482&lt;&gt;"","到貨","3次發包中"),IF(AF482&lt;&gt;"",IF(AP482&lt;&gt;"","到貨","2次發包中"),IF(AE482&lt;&gt;"",IF(AO482&lt;&gt;"","到貨","發包中"),"")))))</f>
        <v/>
      </c>
      <c r="AW482" s="86">
        <f>IF(OR($AW$6=Y482),$AW$6,"")</f>
        <v/>
      </c>
      <c r="AX482" s="87">
        <f t="array" ref="AX482">IF(OR(AV482:AW482={"到貨","庫存"}),"完成","")</f>
        <v/>
      </c>
      <c r="AY482" s="92">
        <f>E482*$M$1</f>
        <v/>
      </c>
    </row>
    <row r="483" outlineLevel="1" ht="14.25" customHeight="1">
      <c r="A483" s="67" t="n">
        <v>301</v>
      </c>
      <c r="B483" s="526" t="n"/>
      <c r="C483" s="393" t="n"/>
      <c r="D483" s="427" t="n"/>
      <c r="E483" s="526" t="n"/>
      <c r="F483" s="526" t="n"/>
      <c r="G483" s="527" t="n"/>
      <c r="H483" s="393" t="n"/>
      <c r="I483" s="528" t="n"/>
      <c r="J483" s="528" t="n"/>
      <c r="K483" s="528" t="n"/>
      <c r="L483" s="529" t="n"/>
      <c r="M483" s="529" t="n"/>
      <c r="N483" s="530" t="n"/>
      <c r="O483" s="531" t="n"/>
      <c r="P483" s="527" t="n"/>
      <c r="Q483" s="528" t="n"/>
      <c r="R483" s="528" t="n"/>
      <c r="S483" s="528" t="n"/>
      <c r="T483" s="543" t="n"/>
      <c r="U483" s="534" t="n"/>
      <c r="V483" s="516" t="n"/>
      <c r="W483" s="535" t="n"/>
      <c r="X483" s="536" t="n"/>
      <c r="Y483" s="519" t="n"/>
      <c r="Z483" s="683" t="n"/>
      <c r="AA483" s="684" t="n"/>
      <c r="AB483" s="684" t="n"/>
      <c r="AC483" s="684" t="n"/>
      <c r="AD483" s="685" t="n"/>
      <c r="AE483" s="686" t="n"/>
      <c r="AF483" s="684" t="n"/>
      <c r="AG483" s="687" t="n"/>
      <c r="AH483" s="687" t="n"/>
      <c r="AI483" s="684" t="n"/>
      <c r="AJ483" s="686" t="n"/>
      <c r="AK483" s="687" t="n"/>
      <c r="AL483" s="687" t="n"/>
      <c r="AM483" s="687" t="n"/>
      <c r="AN483" s="688" t="n"/>
      <c r="AO483" s="686" t="n"/>
      <c r="AP483" s="689" t="n"/>
      <c r="AQ483" s="689" t="n"/>
      <c r="AR483" s="689" t="n"/>
      <c r="AS483" s="690" t="n"/>
      <c r="AT483" s="691">
        <f>IF(AJ483&lt;&gt;"",(IF(AV483="到貨","",(AJ483-TODAY()))),"")</f>
        <v/>
      </c>
      <c r="AU483" s="692">
        <f>IF(AO483&lt;&gt;"",(AO483-AE483),"")</f>
        <v/>
      </c>
      <c r="AV483" s="86">
        <f>IF(AI483&lt;&gt;"",IF(AS483&lt;&gt;"","到貨","5次發包中"),IF(AH483&lt;&gt;"",IF(AR483&lt;&gt;"","到貨","4次發包中"),IF(AG483&lt;&gt;"",IF(AQ483&lt;&gt;"","到貨","3次發包中"),IF(AF483&lt;&gt;"",IF(AP483&lt;&gt;"","到貨","2次發包中"),IF(AE483&lt;&gt;"",IF(AO483&lt;&gt;"","到貨","發包中"),"")))))</f>
        <v/>
      </c>
      <c r="AW483" s="86">
        <f>IF(OR($AW$6=Y483),$AW$6,"")</f>
        <v/>
      </c>
      <c r="AX483" s="87">
        <f t="array" ref="AX483">IF(OR(AV483:AW483={"到貨","庫存"}),"完成","")</f>
        <v/>
      </c>
      <c r="AY483" s="92">
        <f>E483*$M$1</f>
        <v/>
      </c>
    </row>
    <row r="484" outlineLevel="1" ht="14.25" customHeight="1">
      <c r="A484" s="67" t="n">
        <v>301</v>
      </c>
      <c r="B484" s="526" t="n"/>
      <c r="C484" s="393" t="n"/>
      <c r="D484" s="427" t="n"/>
      <c r="E484" s="526" t="n"/>
      <c r="F484" s="526" t="n"/>
      <c r="G484" s="527" t="n"/>
      <c r="H484" s="393" t="n"/>
      <c r="I484" s="528" t="n"/>
      <c r="J484" s="528" t="n"/>
      <c r="K484" s="528" t="n"/>
      <c r="L484" s="529" t="n"/>
      <c r="M484" s="529" t="n"/>
      <c r="N484" s="530" t="n"/>
      <c r="O484" s="531" t="n"/>
      <c r="P484" s="527" t="n"/>
      <c r="Q484" s="528" t="n"/>
      <c r="R484" s="528" t="n"/>
      <c r="S484" s="528" t="n"/>
      <c r="T484" s="543" t="n"/>
      <c r="U484" s="534" t="n"/>
      <c r="V484" s="516" t="n"/>
      <c r="W484" s="535" t="n"/>
      <c r="X484" s="536" t="n"/>
      <c r="Y484" s="519" t="n"/>
      <c r="Z484" s="683" t="n"/>
      <c r="AA484" s="684" t="n"/>
      <c r="AB484" s="684" t="n"/>
      <c r="AC484" s="684" t="n"/>
      <c r="AD484" s="685" t="n"/>
      <c r="AE484" s="686" t="n"/>
      <c r="AF484" s="684" t="n"/>
      <c r="AG484" s="687" t="n"/>
      <c r="AH484" s="687" t="n"/>
      <c r="AI484" s="684" t="n"/>
      <c r="AJ484" s="686" t="n"/>
      <c r="AK484" s="687" t="n"/>
      <c r="AL484" s="687" t="n"/>
      <c r="AM484" s="687" t="n"/>
      <c r="AN484" s="688" t="n"/>
      <c r="AO484" s="686" t="n"/>
      <c r="AP484" s="689" t="n"/>
      <c r="AQ484" s="689" t="n"/>
      <c r="AR484" s="689" t="n"/>
      <c r="AS484" s="690" t="n"/>
      <c r="AT484" s="691">
        <f>IF(AJ484&lt;&gt;"",(IF(AV484="到貨","",(AJ484-TODAY()))),"")</f>
        <v/>
      </c>
      <c r="AU484" s="692">
        <f>IF(AO484&lt;&gt;"",(AO484-AE484),"")</f>
        <v/>
      </c>
      <c r="AV484" s="86">
        <f>IF(AI484&lt;&gt;"",IF(AS484&lt;&gt;"","到貨","5次發包中"),IF(AH484&lt;&gt;"",IF(AR484&lt;&gt;"","到貨","4次發包中"),IF(AG484&lt;&gt;"",IF(AQ484&lt;&gt;"","到貨","3次發包中"),IF(AF484&lt;&gt;"",IF(AP484&lt;&gt;"","到貨","2次發包中"),IF(AE484&lt;&gt;"",IF(AO484&lt;&gt;"","到貨","發包中"),"")))))</f>
        <v/>
      </c>
      <c r="AW484" s="86">
        <f>IF(OR($AW$6=Y484),$AW$6,"")</f>
        <v/>
      </c>
      <c r="AX484" s="87">
        <f t="array" ref="AX484">IF(OR(AV484:AW484={"到貨","庫存"}),"完成","")</f>
        <v/>
      </c>
      <c r="AY484" s="92">
        <f>E484*$M$1</f>
        <v/>
      </c>
    </row>
    <row r="485" outlineLevel="1" ht="14.25" customHeight="1">
      <c r="A485" s="67" t="n">
        <v>301</v>
      </c>
      <c r="B485" s="526" t="n"/>
      <c r="C485" s="393" t="n"/>
      <c r="D485" s="427" t="n"/>
      <c r="E485" s="526" t="n"/>
      <c r="F485" s="526" t="n"/>
      <c r="G485" s="527" t="n"/>
      <c r="H485" s="393" t="n"/>
      <c r="I485" s="528" t="n"/>
      <c r="J485" s="528" t="n"/>
      <c r="K485" s="528" t="n"/>
      <c r="L485" s="529" t="n"/>
      <c r="M485" s="529" t="n"/>
      <c r="N485" s="530" t="n"/>
      <c r="O485" s="531" t="n"/>
      <c r="P485" s="527" t="n"/>
      <c r="Q485" s="528" t="n"/>
      <c r="R485" s="528" t="n"/>
      <c r="S485" s="528" t="n"/>
      <c r="T485" s="543" t="n"/>
      <c r="U485" s="534" t="n"/>
      <c r="V485" s="516" t="n"/>
      <c r="W485" s="535" t="n"/>
      <c r="X485" s="536" t="n"/>
      <c r="Y485" s="519" t="n"/>
      <c r="Z485" s="683" t="n"/>
      <c r="AA485" s="684" t="n"/>
      <c r="AB485" s="684" t="n"/>
      <c r="AC485" s="684" t="n"/>
      <c r="AD485" s="685" t="n"/>
      <c r="AE485" s="686" t="n"/>
      <c r="AF485" s="684" t="n"/>
      <c r="AG485" s="687" t="n"/>
      <c r="AH485" s="687" t="n"/>
      <c r="AI485" s="684" t="n"/>
      <c r="AJ485" s="686" t="n"/>
      <c r="AK485" s="687" t="n"/>
      <c r="AL485" s="687" t="n"/>
      <c r="AM485" s="687" t="n"/>
      <c r="AN485" s="688" t="n"/>
      <c r="AO485" s="686" t="n"/>
      <c r="AP485" s="689" t="n"/>
      <c r="AQ485" s="689" t="n"/>
      <c r="AR485" s="689" t="n"/>
      <c r="AS485" s="690" t="n"/>
      <c r="AT485" s="691">
        <f>IF(AJ485&lt;&gt;"",(IF(AV485="到貨","",(AJ485-TODAY()))),"")</f>
        <v/>
      </c>
      <c r="AU485" s="692">
        <f>IF(AO485&lt;&gt;"",(AO485-AE485),"")</f>
        <v/>
      </c>
      <c r="AV485" s="86">
        <f>IF(AI485&lt;&gt;"",IF(AS485&lt;&gt;"","到貨","5次發包中"),IF(AH485&lt;&gt;"",IF(AR485&lt;&gt;"","到貨","4次發包中"),IF(AG485&lt;&gt;"",IF(AQ485&lt;&gt;"","到貨","3次發包中"),IF(AF485&lt;&gt;"",IF(AP485&lt;&gt;"","到貨","2次發包中"),IF(AE485&lt;&gt;"",IF(AO485&lt;&gt;"","到貨","發包中"),"")))))</f>
        <v/>
      </c>
      <c r="AW485" s="86">
        <f>IF(OR($AW$6=Y485),$AW$6,"")</f>
        <v/>
      </c>
      <c r="AX485" s="87">
        <f t="array" ref="AX485">IF(OR(AV485:AW485={"到貨","庫存"}),"完成","")</f>
        <v/>
      </c>
      <c r="AY485" s="92">
        <f>E485*$M$1</f>
        <v/>
      </c>
    </row>
    <row r="486" outlineLevel="1" ht="14.25" customHeight="1">
      <c r="A486" s="67" t="n">
        <v>301</v>
      </c>
      <c r="B486" s="526" t="n"/>
      <c r="C486" s="393" t="n"/>
      <c r="D486" s="427" t="n"/>
      <c r="E486" s="526" t="n"/>
      <c r="F486" s="526" t="n"/>
      <c r="G486" s="527" t="n"/>
      <c r="H486" s="393" t="n"/>
      <c r="I486" s="528" t="n"/>
      <c r="J486" s="528" t="n"/>
      <c r="K486" s="528" t="n"/>
      <c r="L486" s="529" t="n"/>
      <c r="M486" s="529" t="n"/>
      <c r="N486" s="530" t="n"/>
      <c r="O486" s="531" t="n"/>
      <c r="P486" s="527" t="n"/>
      <c r="Q486" s="528" t="n"/>
      <c r="R486" s="528" t="n"/>
      <c r="S486" s="528" t="n"/>
      <c r="T486" s="543" t="n"/>
      <c r="U486" s="534" t="n"/>
      <c r="V486" s="516" t="n"/>
      <c r="W486" s="535" t="n"/>
      <c r="X486" s="536" t="n"/>
      <c r="Y486" s="519" t="n"/>
      <c r="Z486" s="683" t="n"/>
      <c r="AA486" s="684" t="n"/>
      <c r="AB486" s="684" t="n"/>
      <c r="AC486" s="684" t="n"/>
      <c r="AD486" s="685" t="n"/>
      <c r="AE486" s="686" t="n"/>
      <c r="AF486" s="684" t="n"/>
      <c r="AG486" s="687" t="n"/>
      <c r="AH486" s="687" t="n"/>
      <c r="AI486" s="684" t="n"/>
      <c r="AJ486" s="686" t="n"/>
      <c r="AK486" s="687" t="n"/>
      <c r="AL486" s="687" t="n"/>
      <c r="AM486" s="687" t="n"/>
      <c r="AN486" s="688" t="n"/>
      <c r="AO486" s="686" t="n"/>
      <c r="AP486" s="689" t="n"/>
      <c r="AQ486" s="689" t="n"/>
      <c r="AR486" s="689" t="n"/>
      <c r="AS486" s="690" t="n"/>
      <c r="AT486" s="691">
        <f>IF(AJ486&lt;&gt;"",(IF(AV486="到貨","",(AJ486-TODAY()))),"")</f>
        <v/>
      </c>
      <c r="AU486" s="692">
        <f>IF(AO486&lt;&gt;"",(AO486-AE486),"")</f>
        <v/>
      </c>
      <c r="AV486" s="86">
        <f>IF(AI486&lt;&gt;"",IF(AS486&lt;&gt;"","到貨","5次發包中"),IF(AH486&lt;&gt;"",IF(AR486&lt;&gt;"","到貨","4次發包中"),IF(AG486&lt;&gt;"",IF(AQ486&lt;&gt;"","到貨","3次發包中"),IF(AF486&lt;&gt;"",IF(AP486&lt;&gt;"","到貨","2次發包中"),IF(AE486&lt;&gt;"",IF(AO486&lt;&gt;"","到貨","發包中"),"")))))</f>
        <v/>
      </c>
      <c r="AW486" s="86">
        <f>IF(OR($AW$6=Y486),$AW$6,"")</f>
        <v/>
      </c>
      <c r="AX486" s="87">
        <f t="array" ref="AX486">IF(OR(AV486:AW486={"到貨","庫存"}),"完成","")</f>
        <v/>
      </c>
      <c r="AY486" s="92">
        <f>E486*$M$1</f>
        <v/>
      </c>
    </row>
    <row r="487" outlineLevel="1" ht="14.25" customHeight="1">
      <c r="A487" s="67" t="n">
        <v>301</v>
      </c>
      <c r="B487" s="526" t="n"/>
      <c r="C487" s="393" t="n"/>
      <c r="D487" s="427" t="n"/>
      <c r="E487" s="526" t="n"/>
      <c r="F487" s="526" t="n"/>
      <c r="G487" s="527" t="n"/>
      <c r="H487" s="393" t="n"/>
      <c r="I487" s="528" t="n"/>
      <c r="J487" s="528" t="n"/>
      <c r="K487" s="528" t="n"/>
      <c r="L487" s="529" t="n"/>
      <c r="M487" s="529" t="n"/>
      <c r="N487" s="530" t="n"/>
      <c r="O487" s="531" t="n"/>
      <c r="P487" s="527" t="n"/>
      <c r="Q487" s="528" t="n"/>
      <c r="R487" s="528" t="n"/>
      <c r="S487" s="528" t="n"/>
      <c r="T487" s="543" t="n"/>
      <c r="U487" s="534" t="n"/>
      <c r="V487" s="516" t="n"/>
      <c r="W487" s="535" t="n"/>
      <c r="X487" s="536" t="n"/>
      <c r="Y487" s="519" t="n"/>
      <c r="Z487" s="683" t="n"/>
      <c r="AA487" s="684" t="n"/>
      <c r="AB487" s="684" t="n"/>
      <c r="AC487" s="684" t="n"/>
      <c r="AD487" s="685" t="n"/>
      <c r="AE487" s="686" t="n"/>
      <c r="AF487" s="684" t="n"/>
      <c r="AG487" s="687" t="n"/>
      <c r="AH487" s="687" t="n"/>
      <c r="AI487" s="684" t="n"/>
      <c r="AJ487" s="686" t="n"/>
      <c r="AK487" s="687" t="n"/>
      <c r="AL487" s="687" t="n"/>
      <c r="AM487" s="687" t="n"/>
      <c r="AN487" s="688" t="n"/>
      <c r="AO487" s="686" t="n"/>
      <c r="AP487" s="689" t="n"/>
      <c r="AQ487" s="689" t="n"/>
      <c r="AR487" s="689" t="n"/>
      <c r="AS487" s="690" t="n"/>
      <c r="AT487" s="691">
        <f>IF(AJ487&lt;&gt;"",(IF(AV487="到貨","",(AJ487-TODAY()))),"")</f>
        <v/>
      </c>
      <c r="AU487" s="692">
        <f>IF(AO487&lt;&gt;"",(AO487-AE487),"")</f>
        <v/>
      </c>
      <c r="AV487" s="86">
        <f>IF(AI487&lt;&gt;"",IF(AS487&lt;&gt;"","到貨","5次發包中"),IF(AH487&lt;&gt;"",IF(AR487&lt;&gt;"","到貨","4次發包中"),IF(AG487&lt;&gt;"",IF(AQ487&lt;&gt;"","到貨","3次發包中"),IF(AF487&lt;&gt;"",IF(AP487&lt;&gt;"","到貨","2次發包中"),IF(AE487&lt;&gt;"",IF(AO487&lt;&gt;"","到貨","發包中"),"")))))</f>
        <v/>
      </c>
      <c r="AW487" s="86">
        <f>IF(OR($AW$6=Y487),$AW$6,"")</f>
        <v/>
      </c>
      <c r="AX487" s="87">
        <f t="array" ref="AX487">IF(OR(AV487:AW487={"到貨","庫存"}),"完成","")</f>
        <v/>
      </c>
      <c r="AY487" s="92">
        <f>E487*$M$1</f>
        <v/>
      </c>
    </row>
    <row r="488" outlineLevel="1" ht="14.25" customHeight="1">
      <c r="A488" s="67" t="n">
        <v>301</v>
      </c>
      <c r="B488" s="526" t="n"/>
      <c r="C488" s="393" t="n"/>
      <c r="D488" s="427" t="n"/>
      <c r="E488" s="526" t="n"/>
      <c r="F488" s="526" t="n"/>
      <c r="G488" s="527" t="n"/>
      <c r="H488" s="393" t="n"/>
      <c r="I488" s="528" t="n"/>
      <c r="J488" s="528" t="n"/>
      <c r="K488" s="528" t="n"/>
      <c r="L488" s="529" t="n"/>
      <c r="M488" s="529" t="n"/>
      <c r="N488" s="530" t="n"/>
      <c r="O488" s="531" t="n"/>
      <c r="P488" s="527" t="n"/>
      <c r="Q488" s="528" t="n"/>
      <c r="R488" s="528" t="n"/>
      <c r="S488" s="528" t="n"/>
      <c r="T488" s="543" t="n"/>
      <c r="U488" s="534" t="n"/>
      <c r="V488" s="516" t="n"/>
      <c r="W488" s="535" t="n"/>
      <c r="X488" s="536" t="n"/>
      <c r="Y488" s="519" t="n"/>
      <c r="Z488" s="683" t="n"/>
      <c r="AA488" s="684" t="n"/>
      <c r="AB488" s="684" t="n"/>
      <c r="AC488" s="684" t="n"/>
      <c r="AD488" s="685" t="n"/>
      <c r="AE488" s="686" t="n"/>
      <c r="AF488" s="684" t="n"/>
      <c r="AG488" s="687" t="n"/>
      <c r="AH488" s="687" t="n"/>
      <c r="AI488" s="684" t="n"/>
      <c r="AJ488" s="686" t="n"/>
      <c r="AK488" s="687" t="n"/>
      <c r="AL488" s="687" t="n"/>
      <c r="AM488" s="687" t="n"/>
      <c r="AN488" s="688" t="n"/>
      <c r="AO488" s="686" t="n"/>
      <c r="AP488" s="689" t="n"/>
      <c r="AQ488" s="689" t="n"/>
      <c r="AR488" s="689" t="n"/>
      <c r="AS488" s="690" t="n"/>
      <c r="AT488" s="691">
        <f>IF(AJ488&lt;&gt;"",(IF(AV488="到貨","",(AJ488-TODAY()))),"")</f>
        <v/>
      </c>
      <c r="AU488" s="692">
        <f>IF(AO488&lt;&gt;"",(AO488-AE488),"")</f>
        <v/>
      </c>
      <c r="AV488" s="86">
        <f>IF(AI488&lt;&gt;"",IF(AS488&lt;&gt;"","到貨","5次發包中"),IF(AH488&lt;&gt;"",IF(AR488&lt;&gt;"","到貨","4次發包中"),IF(AG488&lt;&gt;"",IF(AQ488&lt;&gt;"","到貨","3次發包中"),IF(AF488&lt;&gt;"",IF(AP488&lt;&gt;"","到貨","2次發包中"),IF(AE488&lt;&gt;"",IF(AO488&lt;&gt;"","到貨","發包中"),"")))))</f>
        <v/>
      </c>
      <c r="AW488" s="86">
        <f>IF(OR($AW$6=Y488),$AW$6,"")</f>
        <v/>
      </c>
      <c r="AX488" s="87">
        <f t="array" ref="AX488">IF(OR(AV488:AW488={"到貨","庫存"}),"完成","")</f>
        <v/>
      </c>
      <c r="AY488" s="92">
        <f>E488*$M$1</f>
        <v/>
      </c>
    </row>
    <row r="489" outlineLevel="1" ht="14.25" customHeight="1">
      <c r="A489" s="67" t="n">
        <v>301</v>
      </c>
      <c r="B489" s="526" t="n"/>
      <c r="C489" s="393" t="n"/>
      <c r="D489" s="427" t="n"/>
      <c r="E489" s="526" t="n"/>
      <c r="F489" s="526" t="n"/>
      <c r="G489" s="527" t="n"/>
      <c r="H489" s="393" t="n"/>
      <c r="I489" s="528" t="n"/>
      <c r="J489" s="528" t="n"/>
      <c r="K489" s="528" t="n"/>
      <c r="L489" s="529" t="n"/>
      <c r="M489" s="529" t="n"/>
      <c r="N489" s="530" t="n"/>
      <c r="O489" s="531" t="n"/>
      <c r="P489" s="527" t="n"/>
      <c r="Q489" s="528" t="n"/>
      <c r="R489" s="528" t="n"/>
      <c r="S489" s="528" t="n"/>
      <c r="T489" s="543" t="n"/>
      <c r="U489" s="534" t="n"/>
      <c r="V489" s="516" t="n"/>
      <c r="W489" s="535" t="n"/>
      <c r="X489" s="536" t="n"/>
      <c r="Y489" s="519" t="n"/>
      <c r="Z489" s="683" t="n"/>
      <c r="AA489" s="684" t="n"/>
      <c r="AB489" s="684" t="n"/>
      <c r="AC489" s="684" t="n"/>
      <c r="AD489" s="685" t="n"/>
      <c r="AE489" s="686" t="n"/>
      <c r="AF489" s="684" t="n"/>
      <c r="AG489" s="687" t="n"/>
      <c r="AH489" s="687" t="n"/>
      <c r="AI489" s="684" t="n"/>
      <c r="AJ489" s="686" t="n"/>
      <c r="AK489" s="687" t="n"/>
      <c r="AL489" s="687" t="n"/>
      <c r="AM489" s="687" t="n"/>
      <c r="AN489" s="688" t="n"/>
      <c r="AO489" s="686" t="n"/>
      <c r="AP489" s="689" t="n"/>
      <c r="AQ489" s="689" t="n"/>
      <c r="AR489" s="689" t="n"/>
      <c r="AS489" s="690" t="n"/>
      <c r="AT489" s="691">
        <f>IF(AJ489&lt;&gt;"",(IF(AV489="到貨","",(AJ489-TODAY()))),"")</f>
        <v/>
      </c>
      <c r="AU489" s="692">
        <f>IF(AO489&lt;&gt;"",(AO489-AE489),"")</f>
        <v/>
      </c>
      <c r="AV489" s="86">
        <f>IF(AI489&lt;&gt;"",IF(AS489&lt;&gt;"","到貨","5次發包中"),IF(AH489&lt;&gt;"",IF(AR489&lt;&gt;"","到貨","4次發包中"),IF(AG489&lt;&gt;"",IF(AQ489&lt;&gt;"","到貨","3次發包中"),IF(AF489&lt;&gt;"",IF(AP489&lt;&gt;"","到貨","2次發包中"),IF(AE489&lt;&gt;"",IF(AO489&lt;&gt;"","到貨","發包中"),"")))))</f>
        <v/>
      </c>
      <c r="AW489" s="86">
        <f>IF(OR($AW$6=Y489),$AW$6,"")</f>
        <v/>
      </c>
      <c r="AX489" s="87">
        <f t="array" ref="AX489">IF(OR(AV489:AW489={"到貨","庫存"}),"完成","")</f>
        <v/>
      </c>
      <c r="AY489" s="92">
        <f>E489*$M$1</f>
        <v/>
      </c>
    </row>
    <row r="490" outlineLevel="1" ht="14.25" customHeight="1">
      <c r="A490" s="67" t="n">
        <v>301</v>
      </c>
      <c r="B490" s="526" t="n"/>
      <c r="C490" s="393" t="n"/>
      <c r="D490" s="427" t="n"/>
      <c r="E490" s="526" t="n"/>
      <c r="F490" s="526" t="n"/>
      <c r="G490" s="527" t="n"/>
      <c r="H490" s="393" t="n"/>
      <c r="I490" s="528" t="n"/>
      <c r="J490" s="528" t="n"/>
      <c r="K490" s="528" t="n"/>
      <c r="L490" s="529" t="n"/>
      <c r="M490" s="529" t="n"/>
      <c r="N490" s="530" t="n"/>
      <c r="O490" s="531" t="n"/>
      <c r="P490" s="527" t="n"/>
      <c r="Q490" s="528" t="n"/>
      <c r="R490" s="528" t="n"/>
      <c r="S490" s="528" t="n"/>
      <c r="T490" s="543" t="n"/>
      <c r="U490" s="534" t="n"/>
      <c r="V490" s="516" t="n"/>
      <c r="W490" s="535" t="n"/>
      <c r="X490" s="536" t="n"/>
      <c r="Y490" s="519" t="n"/>
      <c r="Z490" s="683" t="n"/>
      <c r="AA490" s="684" t="n"/>
      <c r="AB490" s="684" t="n"/>
      <c r="AC490" s="684" t="n"/>
      <c r="AD490" s="685" t="n"/>
      <c r="AE490" s="686" t="n"/>
      <c r="AF490" s="684" t="n"/>
      <c r="AG490" s="687" t="n"/>
      <c r="AH490" s="687" t="n"/>
      <c r="AI490" s="684" t="n"/>
      <c r="AJ490" s="686" t="n"/>
      <c r="AK490" s="687" t="n"/>
      <c r="AL490" s="687" t="n"/>
      <c r="AM490" s="687" t="n"/>
      <c r="AN490" s="688" t="n"/>
      <c r="AO490" s="686" t="n"/>
      <c r="AP490" s="689" t="n"/>
      <c r="AQ490" s="689" t="n"/>
      <c r="AR490" s="689" t="n"/>
      <c r="AS490" s="690" t="n"/>
      <c r="AT490" s="691">
        <f>IF(AJ490&lt;&gt;"",(IF(AV490="到貨","",(AJ490-TODAY()))),"")</f>
        <v/>
      </c>
      <c r="AU490" s="692">
        <f>IF(AO490&lt;&gt;"",(AO490-AE490),"")</f>
        <v/>
      </c>
      <c r="AV490" s="86">
        <f>IF(AI490&lt;&gt;"",IF(AS490&lt;&gt;"","到貨","5次發包中"),IF(AH490&lt;&gt;"",IF(AR490&lt;&gt;"","到貨","4次發包中"),IF(AG490&lt;&gt;"",IF(AQ490&lt;&gt;"","到貨","3次發包中"),IF(AF490&lt;&gt;"",IF(AP490&lt;&gt;"","到貨","2次發包中"),IF(AE490&lt;&gt;"",IF(AO490&lt;&gt;"","到貨","發包中"),"")))))</f>
        <v/>
      </c>
      <c r="AW490" s="86">
        <f>IF(OR($AW$6=Y490),$AW$6,"")</f>
        <v/>
      </c>
      <c r="AX490" s="87">
        <f t="array" ref="AX490">IF(OR(AV490:AW490={"到貨","庫存"}),"完成","")</f>
        <v/>
      </c>
      <c r="AY490" s="92">
        <f>E490*$M$1</f>
        <v/>
      </c>
    </row>
    <row r="491" outlineLevel="1" ht="14.25" customHeight="1">
      <c r="A491" s="67" t="n">
        <v>301</v>
      </c>
      <c r="B491" s="526" t="n"/>
      <c r="C491" s="393" t="n"/>
      <c r="D491" s="427" t="n"/>
      <c r="E491" s="526" t="n"/>
      <c r="F491" s="526" t="n"/>
      <c r="G491" s="527" t="n"/>
      <c r="H491" s="393" t="n"/>
      <c r="I491" s="528" t="n"/>
      <c r="J491" s="528" t="n"/>
      <c r="K491" s="528" t="n"/>
      <c r="L491" s="529" t="n"/>
      <c r="M491" s="529" t="n"/>
      <c r="N491" s="530" t="n"/>
      <c r="O491" s="531" t="n"/>
      <c r="P491" s="527" t="n"/>
      <c r="Q491" s="528" t="n"/>
      <c r="R491" s="528" t="n"/>
      <c r="S491" s="528" t="n"/>
      <c r="T491" s="543" t="n"/>
      <c r="U491" s="534" t="n"/>
      <c r="V491" s="516" t="n"/>
      <c r="W491" s="535" t="n"/>
      <c r="X491" s="536" t="n"/>
      <c r="Y491" s="519" t="n"/>
      <c r="Z491" s="683" t="n"/>
      <c r="AA491" s="684" t="n"/>
      <c r="AB491" s="684" t="n"/>
      <c r="AC491" s="684" t="n"/>
      <c r="AD491" s="685" t="n"/>
      <c r="AE491" s="686" t="n"/>
      <c r="AF491" s="684" t="n"/>
      <c r="AG491" s="687" t="n"/>
      <c r="AH491" s="687" t="n"/>
      <c r="AI491" s="684" t="n"/>
      <c r="AJ491" s="686" t="n"/>
      <c r="AK491" s="687" t="n"/>
      <c r="AL491" s="687" t="n"/>
      <c r="AM491" s="687" t="n"/>
      <c r="AN491" s="688" t="n"/>
      <c r="AO491" s="686" t="n"/>
      <c r="AP491" s="689" t="n"/>
      <c r="AQ491" s="689" t="n"/>
      <c r="AR491" s="689" t="n"/>
      <c r="AS491" s="690" t="n"/>
      <c r="AT491" s="691">
        <f>IF(AJ491&lt;&gt;"",(IF(AV491="到貨","",(AJ491-TODAY()))),"")</f>
        <v/>
      </c>
      <c r="AU491" s="692">
        <f>IF(AO491&lt;&gt;"",(AO491-AE491),"")</f>
        <v/>
      </c>
      <c r="AV491" s="86">
        <f>IF(AI491&lt;&gt;"",IF(AS491&lt;&gt;"","到貨","5次發包中"),IF(AH491&lt;&gt;"",IF(AR491&lt;&gt;"","到貨","4次發包中"),IF(AG491&lt;&gt;"",IF(AQ491&lt;&gt;"","到貨","3次發包中"),IF(AF491&lt;&gt;"",IF(AP491&lt;&gt;"","到貨","2次發包中"),IF(AE491&lt;&gt;"",IF(AO491&lt;&gt;"","到貨","發包中"),"")))))</f>
        <v/>
      </c>
      <c r="AW491" s="86">
        <f>IF(OR($AW$6=Y491),$AW$6,"")</f>
        <v/>
      </c>
      <c r="AX491" s="87">
        <f t="array" ref="AX491">IF(OR(AV491:AW491={"到貨","庫存"}),"完成","")</f>
        <v/>
      </c>
      <c r="AY491" s="92">
        <f>E491*$M$1</f>
        <v/>
      </c>
    </row>
    <row r="492" outlineLevel="1" ht="14.25" customHeight="1">
      <c r="A492" s="67" t="n">
        <v>301</v>
      </c>
      <c r="B492" s="526" t="n"/>
      <c r="C492" s="393" t="n"/>
      <c r="D492" s="427" t="n"/>
      <c r="E492" s="526" t="n"/>
      <c r="F492" s="526" t="n"/>
      <c r="G492" s="527" t="n"/>
      <c r="H492" s="393" t="n"/>
      <c r="I492" s="528" t="n"/>
      <c r="J492" s="528" t="n"/>
      <c r="K492" s="528" t="n"/>
      <c r="L492" s="529" t="n"/>
      <c r="M492" s="529" t="n"/>
      <c r="N492" s="530" t="n"/>
      <c r="O492" s="531" t="n"/>
      <c r="P492" s="527" t="n"/>
      <c r="Q492" s="528" t="n"/>
      <c r="R492" s="528" t="n"/>
      <c r="S492" s="528" t="n"/>
      <c r="T492" s="543" t="n"/>
      <c r="U492" s="534" t="n"/>
      <c r="V492" s="516" t="n"/>
      <c r="W492" s="535" t="n"/>
      <c r="X492" s="536" t="n"/>
      <c r="Y492" s="519" t="n"/>
      <c r="Z492" s="683" t="n"/>
      <c r="AA492" s="684" t="n"/>
      <c r="AB492" s="684" t="n"/>
      <c r="AC492" s="684" t="n"/>
      <c r="AD492" s="685" t="n"/>
      <c r="AE492" s="686" t="n"/>
      <c r="AF492" s="684" t="n"/>
      <c r="AG492" s="687" t="n"/>
      <c r="AH492" s="687" t="n"/>
      <c r="AI492" s="684" t="n"/>
      <c r="AJ492" s="686" t="n"/>
      <c r="AK492" s="687" t="n"/>
      <c r="AL492" s="687" t="n"/>
      <c r="AM492" s="687" t="n"/>
      <c r="AN492" s="688" t="n"/>
      <c r="AO492" s="686" t="n"/>
      <c r="AP492" s="689" t="n"/>
      <c r="AQ492" s="689" t="n"/>
      <c r="AR492" s="689" t="n"/>
      <c r="AS492" s="690" t="n"/>
      <c r="AT492" s="691">
        <f>IF(AJ492&lt;&gt;"",(IF(AV492="到貨","",(AJ492-TODAY()))),"")</f>
        <v/>
      </c>
      <c r="AU492" s="692">
        <f>IF(AO492&lt;&gt;"",(AO492-AE492),"")</f>
        <v/>
      </c>
      <c r="AV492" s="86">
        <f>IF(AI492&lt;&gt;"",IF(AS492&lt;&gt;"","到貨","5次發包中"),IF(AH492&lt;&gt;"",IF(AR492&lt;&gt;"","到貨","4次發包中"),IF(AG492&lt;&gt;"",IF(AQ492&lt;&gt;"","到貨","3次發包中"),IF(AF492&lt;&gt;"",IF(AP492&lt;&gt;"","到貨","2次發包中"),IF(AE492&lt;&gt;"",IF(AO492&lt;&gt;"","到貨","發包中"),"")))))</f>
        <v/>
      </c>
      <c r="AW492" s="86">
        <f>IF(OR($AW$6=Y492),$AW$6,"")</f>
        <v/>
      </c>
      <c r="AX492" s="87">
        <f t="array" ref="AX492">IF(OR(AV492:AW492={"到貨","庫存"}),"完成","")</f>
        <v/>
      </c>
      <c r="AY492" s="92">
        <f>E492*$M$1</f>
        <v/>
      </c>
    </row>
    <row r="493" outlineLevel="1" ht="14.25" customHeight="1">
      <c r="A493" s="67" t="n">
        <v>301</v>
      </c>
      <c r="B493" s="526" t="n"/>
      <c r="C493" s="393" t="n"/>
      <c r="D493" s="427" t="n"/>
      <c r="E493" s="526" t="n"/>
      <c r="F493" s="526" t="n"/>
      <c r="G493" s="527" t="n"/>
      <c r="H493" s="393" t="n"/>
      <c r="I493" s="528" t="n"/>
      <c r="J493" s="528" t="n"/>
      <c r="K493" s="528" t="n"/>
      <c r="L493" s="529" t="n"/>
      <c r="M493" s="529" t="n"/>
      <c r="N493" s="530" t="n"/>
      <c r="O493" s="531" t="n"/>
      <c r="P493" s="527" t="n"/>
      <c r="Q493" s="528" t="n"/>
      <c r="R493" s="528" t="n"/>
      <c r="S493" s="528" t="n"/>
      <c r="T493" s="543" t="n"/>
      <c r="U493" s="534" t="n"/>
      <c r="V493" s="516" t="n"/>
      <c r="W493" s="535" t="n"/>
      <c r="X493" s="536" t="n"/>
      <c r="Y493" s="519" t="n"/>
      <c r="Z493" s="683" t="n"/>
      <c r="AA493" s="684" t="n"/>
      <c r="AB493" s="684" t="n"/>
      <c r="AC493" s="684" t="n"/>
      <c r="AD493" s="685" t="n"/>
      <c r="AE493" s="686" t="n"/>
      <c r="AF493" s="684" t="n"/>
      <c r="AG493" s="687" t="n"/>
      <c r="AH493" s="687" t="n"/>
      <c r="AI493" s="684" t="n"/>
      <c r="AJ493" s="686" t="n"/>
      <c r="AK493" s="687" t="n"/>
      <c r="AL493" s="687" t="n"/>
      <c r="AM493" s="687" t="n"/>
      <c r="AN493" s="688" t="n"/>
      <c r="AO493" s="686" t="n"/>
      <c r="AP493" s="689" t="n"/>
      <c r="AQ493" s="689" t="n"/>
      <c r="AR493" s="689" t="n"/>
      <c r="AS493" s="690" t="n"/>
      <c r="AT493" s="691">
        <f>IF(AJ493&lt;&gt;"",(IF(AV493="到貨","",(AJ493-TODAY()))),"")</f>
        <v/>
      </c>
      <c r="AU493" s="692">
        <f>IF(AO493&lt;&gt;"",(AO493-AE493),"")</f>
        <v/>
      </c>
      <c r="AV493" s="86">
        <f>IF(AI493&lt;&gt;"",IF(AS493&lt;&gt;"","到貨","5次發包中"),IF(AH493&lt;&gt;"",IF(AR493&lt;&gt;"","到貨","4次發包中"),IF(AG493&lt;&gt;"",IF(AQ493&lt;&gt;"","到貨","3次發包中"),IF(AF493&lt;&gt;"",IF(AP493&lt;&gt;"","到貨","2次發包中"),IF(AE493&lt;&gt;"",IF(AO493&lt;&gt;"","到貨","發包中"),"")))))</f>
        <v/>
      </c>
      <c r="AW493" s="86">
        <f>IF(OR($AW$6=Y493),$AW$6,"")</f>
        <v/>
      </c>
      <c r="AX493" s="87">
        <f t="array" ref="AX493">IF(OR(AV493:AW493={"到貨","庫存"}),"完成","")</f>
        <v/>
      </c>
      <c r="AY493" s="92">
        <f>E493*$M$1</f>
        <v/>
      </c>
    </row>
    <row r="494" outlineLevel="1" ht="14.25" customHeight="1">
      <c r="A494" s="67" t="n">
        <v>301</v>
      </c>
      <c r="B494" s="526" t="n"/>
      <c r="C494" s="393" t="n"/>
      <c r="D494" s="427" t="n"/>
      <c r="E494" s="526" t="n"/>
      <c r="F494" s="526" t="n"/>
      <c r="G494" s="527" t="n"/>
      <c r="H494" s="393" t="n"/>
      <c r="I494" s="528" t="n"/>
      <c r="J494" s="528" t="n"/>
      <c r="K494" s="528" t="n"/>
      <c r="L494" s="529" t="n"/>
      <c r="M494" s="529" t="n"/>
      <c r="N494" s="530" t="n"/>
      <c r="O494" s="531" t="n"/>
      <c r="P494" s="527" t="n"/>
      <c r="Q494" s="528" t="n"/>
      <c r="R494" s="528" t="n"/>
      <c r="S494" s="528" t="n"/>
      <c r="T494" s="543" t="n"/>
      <c r="U494" s="534" t="n"/>
      <c r="V494" s="516" t="n"/>
      <c r="W494" s="535" t="n"/>
      <c r="X494" s="536" t="n"/>
      <c r="Y494" s="519" t="n"/>
      <c r="Z494" s="683" t="n"/>
      <c r="AA494" s="684" t="n"/>
      <c r="AB494" s="684" t="n"/>
      <c r="AC494" s="684" t="n"/>
      <c r="AD494" s="685" t="n"/>
      <c r="AE494" s="686" t="n"/>
      <c r="AF494" s="684" t="n"/>
      <c r="AG494" s="687" t="n"/>
      <c r="AH494" s="687" t="n"/>
      <c r="AI494" s="684" t="n"/>
      <c r="AJ494" s="686" t="n"/>
      <c r="AK494" s="687" t="n"/>
      <c r="AL494" s="687" t="n"/>
      <c r="AM494" s="687" t="n"/>
      <c r="AN494" s="688" t="n"/>
      <c r="AO494" s="686" t="n"/>
      <c r="AP494" s="689" t="n"/>
      <c r="AQ494" s="689" t="n"/>
      <c r="AR494" s="689" t="n"/>
      <c r="AS494" s="690" t="n"/>
      <c r="AT494" s="691">
        <f>IF(AJ494&lt;&gt;"",(IF(AV494="到貨","",(AJ494-TODAY()))),"")</f>
        <v/>
      </c>
      <c r="AU494" s="692">
        <f>IF(AO494&lt;&gt;"",(AO494-AE494),"")</f>
        <v/>
      </c>
      <c r="AV494" s="86">
        <f>IF(AI494&lt;&gt;"",IF(AS494&lt;&gt;"","到貨","5次發包中"),IF(AH494&lt;&gt;"",IF(AR494&lt;&gt;"","到貨","4次發包中"),IF(AG494&lt;&gt;"",IF(AQ494&lt;&gt;"","到貨","3次發包中"),IF(AF494&lt;&gt;"",IF(AP494&lt;&gt;"","到貨","2次發包中"),IF(AE494&lt;&gt;"",IF(AO494&lt;&gt;"","到貨","發包中"),"")))))</f>
        <v/>
      </c>
      <c r="AW494" s="86">
        <f>IF(OR($AW$6=Y494),$AW$6,"")</f>
        <v/>
      </c>
      <c r="AX494" s="87">
        <f t="array" ref="AX494">IF(OR(AV494:AW494={"到貨","庫存"}),"完成","")</f>
        <v/>
      </c>
      <c r="AY494" s="92">
        <f>E494*$M$1</f>
        <v/>
      </c>
    </row>
    <row r="495" outlineLevel="1" ht="14.25" customHeight="1">
      <c r="A495" s="67" t="n">
        <v>301</v>
      </c>
      <c r="B495" s="526" t="n"/>
      <c r="C495" s="393" t="n"/>
      <c r="D495" s="427" t="n"/>
      <c r="E495" s="526" t="n"/>
      <c r="F495" s="526" t="n"/>
      <c r="G495" s="527" t="n"/>
      <c r="H495" s="393" t="n"/>
      <c r="I495" s="528" t="n"/>
      <c r="J495" s="528" t="n"/>
      <c r="K495" s="528" t="n"/>
      <c r="L495" s="529" t="n"/>
      <c r="M495" s="529" t="n"/>
      <c r="N495" s="530" t="n"/>
      <c r="O495" s="531" t="n"/>
      <c r="P495" s="527" t="n"/>
      <c r="Q495" s="528" t="n"/>
      <c r="R495" s="528" t="n"/>
      <c r="S495" s="528" t="n"/>
      <c r="T495" s="543" t="n"/>
      <c r="U495" s="534" t="n"/>
      <c r="V495" s="516" t="n"/>
      <c r="W495" s="535" t="n"/>
      <c r="X495" s="536" t="n"/>
      <c r="Y495" s="519" t="n"/>
      <c r="Z495" s="683" t="n"/>
      <c r="AA495" s="684" t="n"/>
      <c r="AB495" s="684" t="n"/>
      <c r="AC495" s="684" t="n"/>
      <c r="AD495" s="685" t="n"/>
      <c r="AE495" s="686" t="n"/>
      <c r="AF495" s="684" t="n"/>
      <c r="AG495" s="687" t="n"/>
      <c r="AH495" s="687" t="n"/>
      <c r="AI495" s="684" t="n"/>
      <c r="AJ495" s="686" t="n"/>
      <c r="AK495" s="687" t="n"/>
      <c r="AL495" s="687" t="n"/>
      <c r="AM495" s="687" t="n"/>
      <c r="AN495" s="688" t="n"/>
      <c r="AO495" s="686" t="n"/>
      <c r="AP495" s="689" t="n"/>
      <c r="AQ495" s="689" t="n"/>
      <c r="AR495" s="689" t="n"/>
      <c r="AS495" s="690" t="n"/>
      <c r="AT495" s="691">
        <f>IF(AJ495&lt;&gt;"",(IF(AV495="到貨","",(AJ495-TODAY()))),"")</f>
        <v/>
      </c>
      <c r="AU495" s="692">
        <f>IF(AO495&lt;&gt;"",(AO495-AE495),"")</f>
        <v/>
      </c>
      <c r="AV495" s="86">
        <f>IF(AI495&lt;&gt;"",IF(AS495&lt;&gt;"","到貨","5次發包中"),IF(AH495&lt;&gt;"",IF(AR495&lt;&gt;"","到貨","4次發包中"),IF(AG495&lt;&gt;"",IF(AQ495&lt;&gt;"","到貨","3次發包中"),IF(AF495&lt;&gt;"",IF(AP495&lt;&gt;"","到貨","2次發包中"),IF(AE495&lt;&gt;"",IF(AO495&lt;&gt;"","到貨","發包中"),"")))))</f>
        <v/>
      </c>
      <c r="AW495" s="86">
        <f>IF(OR($AW$6=Y495),$AW$6,"")</f>
        <v/>
      </c>
      <c r="AX495" s="87">
        <f t="array" ref="AX495">IF(OR(AV495:AW495={"到貨","庫存"}),"完成","")</f>
        <v/>
      </c>
      <c r="AY495" s="92">
        <f>E495*$M$1</f>
        <v/>
      </c>
    </row>
    <row r="496" outlineLevel="1" ht="14.25" customHeight="1">
      <c r="A496" s="67" t="n">
        <v>301</v>
      </c>
      <c r="B496" s="526" t="n"/>
      <c r="C496" s="393" t="n"/>
      <c r="D496" s="427" t="n"/>
      <c r="E496" s="526" t="n"/>
      <c r="F496" s="526" t="n"/>
      <c r="G496" s="527" t="n"/>
      <c r="H496" s="393" t="n"/>
      <c r="I496" s="528" t="n"/>
      <c r="J496" s="528" t="n"/>
      <c r="K496" s="528" t="n"/>
      <c r="L496" s="529" t="n"/>
      <c r="M496" s="529" t="n"/>
      <c r="N496" s="530" t="n"/>
      <c r="O496" s="531" t="n"/>
      <c r="P496" s="527" t="n"/>
      <c r="Q496" s="528" t="n"/>
      <c r="R496" s="528" t="n"/>
      <c r="S496" s="528" t="n"/>
      <c r="T496" s="543" t="n"/>
      <c r="U496" s="534" t="n"/>
      <c r="V496" s="516" t="n"/>
      <c r="W496" s="535" t="n"/>
      <c r="X496" s="536" t="n"/>
      <c r="Y496" s="519" t="n"/>
      <c r="Z496" s="683" t="n"/>
      <c r="AA496" s="684" t="n"/>
      <c r="AB496" s="684" t="n"/>
      <c r="AC496" s="684" t="n"/>
      <c r="AD496" s="685" t="n"/>
      <c r="AE496" s="686" t="n"/>
      <c r="AF496" s="684" t="n"/>
      <c r="AG496" s="687" t="n"/>
      <c r="AH496" s="687" t="n"/>
      <c r="AI496" s="684" t="n"/>
      <c r="AJ496" s="686" t="n"/>
      <c r="AK496" s="687" t="n"/>
      <c r="AL496" s="687" t="n"/>
      <c r="AM496" s="687" t="n"/>
      <c r="AN496" s="688" t="n"/>
      <c r="AO496" s="686" t="n"/>
      <c r="AP496" s="689" t="n"/>
      <c r="AQ496" s="689" t="n"/>
      <c r="AR496" s="689" t="n"/>
      <c r="AS496" s="690" t="n"/>
      <c r="AT496" s="691">
        <f>IF(AJ496&lt;&gt;"",(IF(AV496="到貨","",(AJ496-TODAY()))),"")</f>
        <v/>
      </c>
      <c r="AU496" s="692">
        <f>IF(AO496&lt;&gt;"",(AO496-AE496),"")</f>
        <v/>
      </c>
      <c r="AV496" s="86">
        <f>IF(AI496&lt;&gt;"",IF(AS496&lt;&gt;"","到貨","5次發包中"),IF(AH496&lt;&gt;"",IF(AR496&lt;&gt;"","到貨","4次發包中"),IF(AG496&lt;&gt;"",IF(AQ496&lt;&gt;"","到貨","3次發包中"),IF(AF496&lt;&gt;"",IF(AP496&lt;&gt;"","到貨","2次發包中"),IF(AE496&lt;&gt;"",IF(AO496&lt;&gt;"","到貨","發包中"),"")))))</f>
        <v/>
      </c>
      <c r="AW496" s="86">
        <f>IF(OR($AW$6=Y496),$AW$6,"")</f>
        <v/>
      </c>
      <c r="AX496" s="87">
        <f t="array" ref="AX496">IF(OR(AV496:AW496={"到貨","庫存"}),"完成","")</f>
        <v/>
      </c>
      <c r="AY496" s="92">
        <f>E496*$M$1</f>
        <v/>
      </c>
    </row>
    <row r="497" outlineLevel="1" ht="14.25" customHeight="1">
      <c r="A497" s="67" t="n">
        <v>301</v>
      </c>
      <c r="B497" s="526" t="n"/>
      <c r="C497" s="393" t="n"/>
      <c r="D497" s="427" t="n"/>
      <c r="E497" s="526" t="n"/>
      <c r="F497" s="526" t="n"/>
      <c r="G497" s="527" t="n"/>
      <c r="H497" s="393" t="n"/>
      <c r="I497" s="528" t="n"/>
      <c r="J497" s="528" t="n"/>
      <c r="K497" s="528" t="n"/>
      <c r="L497" s="529" t="n"/>
      <c r="M497" s="529" t="n"/>
      <c r="N497" s="530" t="n"/>
      <c r="O497" s="531" t="n"/>
      <c r="P497" s="527" t="n"/>
      <c r="Q497" s="528" t="n"/>
      <c r="R497" s="528" t="n"/>
      <c r="S497" s="528" t="n"/>
      <c r="T497" s="543" t="n"/>
      <c r="U497" s="534" t="n"/>
      <c r="V497" s="516" t="n"/>
      <c r="W497" s="535" t="n"/>
      <c r="X497" s="536" t="n"/>
      <c r="Y497" s="519" t="n"/>
      <c r="Z497" s="683" t="n"/>
      <c r="AA497" s="684" t="n"/>
      <c r="AB497" s="684" t="n"/>
      <c r="AC497" s="684" t="n"/>
      <c r="AD497" s="685" t="n"/>
      <c r="AE497" s="686" t="n"/>
      <c r="AF497" s="684" t="n"/>
      <c r="AG497" s="687" t="n"/>
      <c r="AH497" s="687" t="n"/>
      <c r="AI497" s="684" t="n"/>
      <c r="AJ497" s="686" t="n"/>
      <c r="AK497" s="687" t="n"/>
      <c r="AL497" s="687" t="n"/>
      <c r="AM497" s="687" t="n"/>
      <c r="AN497" s="688" t="n"/>
      <c r="AO497" s="686" t="n"/>
      <c r="AP497" s="689" t="n"/>
      <c r="AQ497" s="689" t="n"/>
      <c r="AR497" s="689" t="n"/>
      <c r="AS497" s="690" t="n"/>
      <c r="AT497" s="691">
        <f>IF(AJ497&lt;&gt;"",(IF(AV497="到貨","",(AJ497-TODAY()))),"")</f>
        <v/>
      </c>
      <c r="AU497" s="692">
        <f>IF(AO497&lt;&gt;"",(AO497-AE497),"")</f>
        <v/>
      </c>
      <c r="AV497" s="86">
        <f>IF(AI497&lt;&gt;"",IF(AS497&lt;&gt;"","到貨","5次發包中"),IF(AH497&lt;&gt;"",IF(AR497&lt;&gt;"","到貨","4次發包中"),IF(AG497&lt;&gt;"",IF(AQ497&lt;&gt;"","到貨","3次發包中"),IF(AF497&lt;&gt;"",IF(AP497&lt;&gt;"","到貨","2次發包中"),IF(AE497&lt;&gt;"",IF(AO497&lt;&gt;"","到貨","發包中"),"")))))</f>
        <v/>
      </c>
      <c r="AW497" s="86">
        <f>IF(OR($AW$6=Y497),$AW$6,"")</f>
        <v/>
      </c>
      <c r="AX497" s="87">
        <f t="array" ref="AX497">IF(OR(AV497:AW497={"到貨","庫存"}),"完成","")</f>
        <v/>
      </c>
      <c r="AY497" s="92">
        <f>E497*$M$1</f>
        <v/>
      </c>
    </row>
    <row r="498" outlineLevel="1" ht="14.25" customHeight="1">
      <c r="A498" s="67" t="n">
        <v>301</v>
      </c>
      <c r="B498" s="526" t="n"/>
      <c r="C498" s="393" t="n"/>
      <c r="D498" s="427" t="n"/>
      <c r="E498" s="526" t="n"/>
      <c r="F498" s="526" t="n"/>
      <c r="G498" s="527" t="n"/>
      <c r="H498" s="393" t="n"/>
      <c r="I498" s="528" t="n"/>
      <c r="J498" s="528" t="n"/>
      <c r="K498" s="528" t="n"/>
      <c r="L498" s="529" t="n"/>
      <c r="M498" s="529" t="n"/>
      <c r="N498" s="530" t="n"/>
      <c r="O498" s="531" t="n"/>
      <c r="P498" s="527" t="n"/>
      <c r="Q498" s="528" t="n"/>
      <c r="R498" s="528" t="n"/>
      <c r="S498" s="528" t="n"/>
      <c r="T498" s="543" t="n"/>
      <c r="U498" s="534" t="n"/>
      <c r="V498" s="516" t="n"/>
      <c r="W498" s="535" t="n"/>
      <c r="X498" s="536" t="n"/>
      <c r="Y498" s="519" t="n"/>
      <c r="Z498" s="683" t="n"/>
      <c r="AA498" s="684" t="n"/>
      <c r="AB498" s="684" t="n"/>
      <c r="AC498" s="684" t="n"/>
      <c r="AD498" s="685" t="n"/>
      <c r="AE498" s="686" t="n"/>
      <c r="AF498" s="684" t="n"/>
      <c r="AG498" s="687" t="n"/>
      <c r="AH498" s="687" t="n"/>
      <c r="AI498" s="684" t="n"/>
      <c r="AJ498" s="686" t="n"/>
      <c r="AK498" s="687" t="n"/>
      <c r="AL498" s="687" t="n"/>
      <c r="AM498" s="687" t="n"/>
      <c r="AN498" s="688" t="n"/>
      <c r="AO498" s="686" t="n"/>
      <c r="AP498" s="689" t="n"/>
      <c r="AQ498" s="689" t="n"/>
      <c r="AR498" s="689" t="n"/>
      <c r="AS498" s="690" t="n"/>
      <c r="AT498" s="691">
        <f>IF(AJ498&lt;&gt;"",(IF(AV498="到貨","",(AJ498-TODAY()))),"")</f>
        <v/>
      </c>
      <c r="AU498" s="692">
        <f>IF(AO498&lt;&gt;"",(AO498-AE498),"")</f>
        <v/>
      </c>
      <c r="AV498" s="86">
        <f>IF(AI498&lt;&gt;"",IF(AS498&lt;&gt;"","到貨","5次發包中"),IF(AH498&lt;&gt;"",IF(AR498&lt;&gt;"","到貨","4次發包中"),IF(AG498&lt;&gt;"",IF(AQ498&lt;&gt;"","到貨","3次發包中"),IF(AF498&lt;&gt;"",IF(AP498&lt;&gt;"","到貨","2次發包中"),IF(AE498&lt;&gt;"",IF(AO498&lt;&gt;"","到貨","發包中"),"")))))</f>
        <v/>
      </c>
      <c r="AW498" s="86">
        <f>IF(OR($AW$6=Y498),$AW$6,"")</f>
        <v/>
      </c>
      <c r="AX498" s="87">
        <f t="array" ref="AX498">IF(OR(AV498:AW498={"到貨","庫存"}),"完成","")</f>
        <v/>
      </c>
      <c r="AY498" s="92">
        <f>E498*$M$1</f>
        <v/>
      </c>
    </row>
    <row r="499" outlineLevel="1" ht="14.25" customHeight="1">
      <c r="A499" s="67" t="n">
        <v>301</v>
      </c>
      <c r="B499" s="526" t="n"/>
      <c r="C499" s="393" t="n"/>
      <c r="D499" s="427" t="n"/>
      <c r="E499" s="526" t="n"/>
      <c r="F499" s="526" t="n"/>
      <c r="G499" s="527" t="n"/>
      <c r="H499" s="393" t="n"/>
      <c r="I499" s="528" t="n"/>
      <c r="J499" s="528" t="n"/>
      <c r="K499" s="528" t="n"/>
      <c r="L499" s="529" t="n"/>
      <c r="M499" s="529" t="n"/>
      <c r="N499" s="530" t="n"/>
      <c r="O499" s="531" t="n"/>
      <c r="P499" s="527" t="n"/>
      <c r="Q499" s="528" t="n"/>
      <c r="R499" s="528" t="n"/>
      <c r="S499" s="528" t="n"/>
      <c r="T499" s="543" t="n"/>
      <c r="U499" s="534" t="n"/>
      <c r="V499" s="516" t="n"/>
      <c r="W499" s="535" t="n"/>
      <c r="X499" s="536" t="n"/>
      <c r="Y499" s="519" t="n"/>
      <c r="Z499" s="683" t="n"/>
      <c r="AA499" s="684" t="n"/>
      <c r="AB499" s="684" t="n"/>
      <c r="AC499" s="684" t="n"/>
      <c r="AD499" s="685" t="n"/>
      <c r="AE499" s="686" t="n"/>
      <c r="AF499" s="684" t="n"/>
      <c r="AG499" s="687" t="n"/>
      <c r="AH499" s="687" t="n"/>
      <c r="AI499" s="684" t="n"/>
      <c r="AJ499" s="686" t="n"/>
      <c r="AK499" s="687" t="n"/>
      <c r="AL499" s="687" t="n"/>
      <c r="AM499" s="687" t="n"/>
      <c r="AN499" s="688" t="n"/>
      <c r="AO499" s="686" t="n"/>
      <c r="AP499" s="689" t="n"/>
      <c r="AQ499" s="689" t="n"/>
      <c r="AR499" s="689" t="n"/>
      <c r="AS499" s="690" t="n"/>
      <c r="AT499" s="691">
        <f>IF(AJ499&lt;&gt;"",(IF(AV499="到貨","",(AJ499-TODAY()))),"")</f>
        <v/>
      </c>
      <c r="AU499" s="692">
        <f>IF(AO499&lt;&gt;"",(AO499-AE499),"")</f>
        <v/>
      </c>
      <c r="AV499" s="86">
        <f>IF(AI499&lt;&gt;"",IF(AS499&lt;&gt;"","到貨","5次發包中"),IF(AH499&lt;&gt;"",IF(AR499&lt;&gt;"","到貨","4次發包中"),IF(AG499&lt;&gt;"",IF(AQ499&lt;&gt;"","到貨","3次發包中"),IF(AF499&lt;&gt;"",IF(AP499&lt;&gt;"","到貨","2次發包中"),IF(AE499&lt;&gt;"",IF(AO499&lt;&gt;"","到貨","發包中"),"")))))</f>
        <v/>
      </c>
      <c r="AW499" s="86">
        <f>IF(OR($AW$6=Y499),$AW$6,"")</f>
        <v/>
      </c>
      <c r="AX499" s="87">
        <f t="array" ref="AX499">IF(OR(AV499:AW499={"到貨","庫存"}),"完成","")</f>
        <v/>
      </c>
      <c r="AY499" s="92">
        <f>E499*$M$1</f>
        <v/>
      </c>
    </row>
    <row r="500" outlineLevel="1" ht="14.25" customHeight="1">
      <c r="A500" s="67" t="n">
        <v>301</v>
      </c>
      <c r="B500" s="526" t="n"/>
      <c r="C500" s="393" t="n"/>
      <c r="D500" s="427" t="n"/>
      <c r="E500" s="526" t="n"/>
      <c r="F500" s="526" t="n"/>
      <c r="G500" s="527" t="n"/>
      <c r="H500" s="393" t="n"/>
      <c r="I500" s="528" t="n"/>
      <c r="J500" s="528" t="n"/>
      <c r="K500" s="528" t="n"/>
      <c r="L500" s="529" t="n"/>
      <c r="M500" s="529" t="n"/>
      <c r="N500" s="530" t="n"/>
      <c r="O500" s="531" t="n"/>
      <c r="P500" s="527" t="n"/>
      <c r="Q500" s="528" t="n"/>
      <c r="R500" s="528" t="n"/>
      <c r="S500" s="528" t="n"/>
      <c r="T500" s="543" t="n"/>
      <c r="U500" s="534" t="n"/>
      <c r="V500" s="516" t="n"/>
      <c r="W500" s="535" t="n"/>
      <c r="X500" s="536" t="n"/>
      <c r="Y500" s="519" t="n"/>
      <c r="Z500" s="683" t="n"/>
      <c r="AA500" s="684" t="n"/>
      <c r="AB500" s="684" t="n"/>
      <c r="AC500" s="684" t="n"/>
      <c r="AD500" s="685" t="n"/>
      <c r="AE500" s="686" t="n"/>
      <c r="AF500" s="684" t="n"/>
      <c r="AG500" s="687" t="n"/>
      <c r="AH500" s="687" t="n"/>
      <c r="AI500" s="684" t="n"/>
      <c r="AJ500" s="686" t="n"/>
      <c r="AK500" s="687" t="n"/>
      <c r="AL500" s="687" t="n"/>
      <c r="AM500" s="687" t="n"/>
      <c r="AN500" s="688" t="n"/>
      <c r="AO500" s="686" t="n"/>
      <c r="AP500" s="689" t="n"/>
      <c r="AQ500" s="689" t="n"/>
      <c r="AR500" s="689" t="n"/>
      <c r="AS500" s="690" t="n"/>
      <c r="AT500" s="691">
        <f>IF(AJ500&lt;&gt;"",(IF(AV500="到貨","",(AJ500-TODAY()))),"")</f>
        <v/>
      </c>
      <c r="AU500" s="692">
        <f>IF(AO500&lt;&gt;"",(AO500-AE500),"")</f>
        <v/>
      </c>
      <c r="AV500" s="86">
        <f>IF(AI500&lt;&gt;"",IF(AS500&lt;&gt;"","到貨","5次發包中"),IF(AH500&lt;&gt;"",IF(AR500&lt;&gt;"","到貨","4次發包中"),IF(AG500&lt;&gt;"",IF(AQ500&lt;&gt;"","到貨","3次發包中"),IF(AF500&lt;&gt;"",IF(AP500&lt;&gt;"","到貨","2次發包中"),IF(AE500&lt;&gt;"",IF(AO500&lt;&gt;"","到貨","發包中"),"")))))</f>
        <v/>
      </c>
      <c r="AW500" s="86">
        <f>IF(OR($AW$6=Y500),$AW$6,"")</f>
        <v/>
      </c>
      <c r="AX500" s="87">
        <f t="array" ref="AX500">IF(OR(AV500:AW500={"到貨","庫存"}),"完成","")</f>
        <v/>
      </c>
      <c r="AY500" s="92">
        <f>E500*$M$1</f>
        <v/>
      </c>
    </row>
    <row r="501" outlineLevel="1" ht="14.25" customHeight="1">
      <c r="A501" s="67" t="n">
        <v>301</v>
      </c>
      <c r="B501" s="526" t="n"/>
      <c r="C501" s="393" t="n"/>
      <c r="D501" s="427" t="n"/>
      <c r="E501" s="526" t="n"/>
      <c r="F501" s="526" t="n"/>
      <c r="G501" s="527" t="n"/>
      <c r="H501" s="393" t="n"/>
      <c r="I501" s="528" t="n"/>
      <c r="J501" s="528" t="n"/>
      <c r="K501" s="528" t="n"/>
      <c r="L501" s="529" t="n"/>
      <c r="M501" s="529" t="n"/>
      <c r="N501" s="530" t="n"/>
      <c r="O501" s="531" t="n"/>
      <c r="P501" s="527" t="n"/>
      <c r="Q501" s="528" t="n"/>
      <c r="R501" s="528" t="n"/>
      <c r="S501" s="528" t="n"/>
      <c r="T501" s="543" t="n"/>
      <c r="U501" s="534" t="n"/>
      <c r="V501" s="516" t="n"/>
      <c r="W501" s="535" t="n"/>
      <c r="X501" s="536" t="n"/>
      <c r="Y501" s="519" t="n"/>
      <c r="Z501" s="683" t="n"/>
      <c r="AA501" s="684" t="n"/>
      <c r="AB501" s="684" t="n"/>
      <c r="AC501" s="684" t="n"/>
      <c r="AD501" s="685" t="n"/>
      <c r="AE501" s="686" t="n"/>
      <c r="AF501" s="684" t="n"/>
      <c r="AG501" s="687" t="n"/>
      <c r="AH501" s="687" t="n"/>
      <c r="AI501" s="684" t="n"/>
      <c r="AJ501" s="686" t="n"/>
      <c r="AK501" s="687" t="n"/>
      <c r="AL501" s="687" t="n"/>
      <c r="AM501" s="687" t="n"/>
      <c r="AN501" s="688" t="n"/>
      <c r="AO501" s="686" t="n"/>
      <c r="AP501" s="689" t="n"/>
      <c r="AQ501" s="689" t="n"/>
      <c r="AR501" s="689" t="n"/>
      <c r="AS501" s="690" t="n"/>
      <c r="AT501" s="691">
        <f>IF(AJ501&lt;&gt;"",(IF(AV501="到貨","",(AJ501-TODAY()))),"")</f>
        <v/>
      </c>
      <c r="AU501" s="692">
        <f>IF(AO501&lt;&gt;"",(AO501-AE501),"")</f>
        <v/>
      </c>
      <c r="AV501" s="86">
        <f>IF(AI501&lt;&gt;"",IF(AS501&lt;&gt;"","到貨","5次發包中"),IF(AH501&lt;&gt;"",IF(AR501&lt;&gt;"","到貨","4次發包中"),IF(AG501&lt;&gt;"",IF(AQ501&lt;&gt;"","到貨","3次發包中"),IF(AF501&lt;&gt;"",IF(AP501&lt;&gt;"","到貨","2次發包中"),IF(AE501&lt;&gt;"",IF(AO501&lt;&gt;"","到貨","發包中"),"")))))</f>
        <v/>
      </c>
      <c r="AW501" s="86">
        <f>IF(OR($AW$6=Y501),$AW$6,"")</f>
        <v/>
      </c>
      <c r="AX501" s="87">
        <f t="array" ref="AX501">IF(OR(AV501:AW501={"到貨","庫存"}),"完成","")</f>
        <v/>
      </c>
      <c r="AY501" s="92">
        <f>E501*$M$1</f>
        <v/>
      </c>
    </row>
    <row r="502" outlineLevel="1" ht="14.25" customHeight="1">
      <c r="A502" s="67" t="n">
        <v>301</v>
      </c>
      <c r="B502" s="526" t="n"/>
      <c r="C502" s="393" t="n"/>
      <c r="D502" s="427" t="n"/>
      <c r="E502" s="526" t="n"/>
      <c r="F502" s="526" t="n"/>
      <c r="G502" s="527" t="n"/>
      <c r="H502" s="393" t="n"/>
      <c r="I502" s="528" t="n"/>
      <c r="J502" s="528" t="n"/>
      <c r="K502" s="528" t="n"/>
      <c r="L502" s="529" t="n"/>
      <c r="M502" s="529" t="n"/>
      <c r="N502" s="530" t="n"/>
      <c r="O502" s="531" t="n"/>
      <c r="P502" s="527" t="n"/>
      <c r="Q502" s="528" t="n"/>
      <c r="R502" s="528" t="n"/>
      <c r="S502" s="528" t="n"/>
      <c r="T502" s="543" t="n"/>
      <c r="U502" s="534" t="n"/>
      <c r="V502" s="516" t="n"/>
      <c r="W502" s="535" t="n"/>
      <c r="X502" s="536" t="n"/>
      <c r="Y502" s="519" t="n"/>
      <c r="Z502" s="683" t="n"/>
      <c r="AA502" s="684" t="n"/>
      <c r="AB502" s="684" t="n"/>
      <c r="AC502" s="684" t="n"/>
      <c r="AD502" s="685" t="n"/>
      <c r="AE502" s="686" t="n"/>
      <c r="AF502" s="684" t="n"/>
      <c r="AG502" s="687" t="n"/>
      <c r="AH502" s="687" t="n"/>
      <c r="AI502" s="684" t="n"/>
      <c r="AJ502" s="686" t="n"/>
      <c r="AK502" s="687" t="n"/>
      <c r="AL502" s="687" t="n"/>
      <c r="AM502" s="687" t="n"/>
      <c r="AN502" s="688" t="n"/>
      <c r="AO502" s="686" t="n"/>
      <c r="AP502" s="689" t="n"/>
      <c r="AQ502" s="689" t="n"/>
      <c r="AR502" s="689" t="n"/>
      <c r="AS502" s="690" t="n"/>
      <c r="AT502" s="691">
        <f>IF(AJ502&lt;&gt;"",(IF(AV502="到貨","",(AJ502-TODAY()))),"")</f>
        <v/>
      </c>
      <c r="AU502" s="692">
        <f>IF(AO502&lt;&gt;"",(AO502-AE502),"")</f>
        <v/>
      </c>
      <c r="AV502" s="86">
        <f>IF(AI502&lt;&gt;"",IF(AS502&lt;&gt;"","到貨","5次發包中"),IF(AH502&lt;&gt;"",IF(AR502&lt;&gt;"","到貨","4次發包中"),IF(AG502&lt;&gt;"",IF(AQ502&lt;&gt;"","到貨","3次發包中"),IF(AF502&lt;&gt;"",IF(AP502&lt;&gt;"","到貨","2次發包中"),IF(AE502&lt;&gt;"",IF(AO502&lt;&gt;"","到貨","發包中"),"")))))</f>
        <v/>
      </c>
      <c r="AW502" s="86">
        <f>IF(OR($AW$6=Y502),$AW$6,"")</f>
        <v/>
      </c>
      <c r="AX502" s="87">
        <f t="array" ref="AX502">IF(OR(AV502:AW502={"到貨","庫存"}),"完成","")</f>
        <v/>
      </c>
      <c r="AY502" s="92">
        <f>E502*$M$1</f>
        <v/>
      </c>
    </row>
    <row r="503" outlineLevel="1" ht="14.25" customHeight="1">
      <c r="A503" s="67" t="n">
        <v>301</v>
      </c>
      <c r="B503" s="526" t="n"/>
      <c r="C503" s="393" t="n"/>
      <c r="D503" s="427" t="n"/>
      <c r="E503" s="526" t="n"/>
      <c r="F503" s="526" t="n"/>
      <c r="G503" s="527" t="n"/>
      <c r="H503" s="393" t="n"/>
      <c r="I503" s="528" t="n"/>
      <c r="J503" s="528" t="n"/>
      <c r="K503" s="528" t="n"/>
      <c r="L503" s="529" t="n"/>
      <c r="M503" s="529" t="n"/>
      <c r="N503" s="530" t="n"/>
      <c r="O503" s="531" t="n"/>
      <c r="P503" s="527" t="n"/>
      <c r="Q503" s="528" t="n"/>
      <c r="R503" s="528" t="n"/>
      <c r="S503" s="528" t="n"/>
      <c r="T503" s="543" t="n"/>
      <c r="U503" s="534" t="n"/>
      <c r="V503" s="516" t="n"/>
      <c r="W503" s="535" t="n"/>
      <c r="X503" s="536" t="n"/>
      <c r="Y503" s="519" t="n"/>
      <c r="Z503" s="683" t="n"/>
      <c r="AA503" s="684" t="n"/>
      <c r="AB503" s="684" t="n"/>
      <c r="AC503" s="684" t="n"/>
      <c r="AD503" s="685" t="n"/>
      <c r="AE503" s="686" t="n"/>
      <c r="AF503" s="684" t="n"/>
      <c r="AG503" s="687" t="n"/>
      <c r="AH503" s="687" t="n"/>
      <c r="AI503" s="684" t="n"/>
      <c r="AJ503" s="686" t="n"/>
      <c r="AK503" s="687" t="n"/>
      <c r="AL503" s="687" t="n"/>
      <c r="AM503" s="687" t="n"/>
      <c r="AN503" s="688" t="n"/>
      <c r="AO503" s="686" t="n"/>
      <c r="AP503" s="689" t="n"/>
      <c r="AQ503" s="689" t="n"/>
      <c r="AR503" s="689" t="n"/>
      <c r="AS503" s="690" t="n"/>
      <c r="AT503" s="691">
        <f>IF(AJ503&lt;&gt;"",(IF(AV503="到貨","",(AJ503-TODAY()))),"")</f>
        <v/>
      </c>
      <c r="AU503" s="692">
        <f>IF(AO503&lt;&gt;"",(AO503-AE503),"")</f>
        <v/>
      </c>
      <c r="AV503" s="86">
        <f>IF(AI503&lt;&gt;"",IF(AS503&lt;&gt;"","到貨","5次發包中"),IF(AH503&lt;&gt;"",IF(AR503&lt;&gt;"","到貨","4次發包中"),IF(AG503&lt;&gt;"",IF(AQ503&lt;&gt;"","到貨","3次發包中"),IF(AF503&lt;&gt;"",IF(AP503&lt;&gt;"","到貨","2次發包中"),IF(AE503&lt;&gt;"",IF(AO503&lt;&gt;"","到貨","發包中"),"")))))</f>
        <v/>
      </c>
      <c r="AW503" s="86">
        <f>IF(OR($AW$6=Y503),$AW$6,"")</f>
        <v/>
      </c>
      <c r="AX503" s="87">
        <f t="array" ref="AX503">IF(OR(AV503:AW503={"到貨","庫存"}),"完成","")</f>
        <v/>
      </c>
      <c r="AY503" s="92">
        <f>E503*$M$1</f>
        <v/>
      </c>
    </row>
    <row r="504" outlineLevel="1" ht="14.25" customHeight="1">
      <c r="A504" s="67" t="n">
        <v>301</v>
      </c>
      <c r="B504" s="526" t="n"/>
      <c r="C504" s="393" t="n"/>
      <c r="D504" s="427" t="n"/>
      <c r="E504" s="526" t="n"/>
      <c r="F504" s="526" t="n"/>
      <c r="G504" s="527" t="n"/>
      <c r="H504" s="393" t="n"/>
      <c r="I504" s="528" t="n"/>
      <c r="J504" s="528" t="n"/>
      <c r="K504" s="528" t="n"/>
      <c r="L504" s="529" t="n"/>
      <c r="M504" s="529" t="n"/>
      <c r="N504" s="530" t="n"/>
      <c r="O504" s="531" t="n"/>
      <c r="P504" s="527" t="n"/>
      <c r="Q504" s="528" t="n"/>
      <c r="R504" s="528" t="n"/>
      <c r="S504" s="528" t="n"/>
      <c r="T504" s="543" t="n"/>
      <c r="U504" s="534" t="n"/>
      <c r="V504" s="516" t="n"/>
      <c r="W504" s="535" t="n"/>
      <c r="X504" s="536" t="n"/>
      <c r="Y504" s="519" t="n"/>
      <c r="Z504" s="683" t="n"/>
      <c r="AA504" s="684" t="n"/>
      <c r="AB504" s="684" t="n"/>
      <c r="AC504" s="684" t="n"/>
      <c r="AD504" s="685" t="n"/>
      <c r="AE504" s="686" t="n"/>
      <c r="AF504" s="684" t="n"/>
      <c r="AG504" s="687" t="n"/>
      <c r="AH504" s="687" t="n"/>
      <c r="AI504" s="684" t="n"/>
      <c r="AJ504" s="686" t="n"/>
      <c r="AK504" s="687" t="n"/>
      <c r="AL504" s="687" t="n"/>
      <c r="AM504" s="687" t="n"/>
      <c r="AN504" s="688" t="n"/>
      <c r="AO504" s="686" t="n"/>
      <c r="AP504" s="689" t="n"/>
      <c r="AQ504" s="689" t="n"/>
      <c r="AR504" s="689" t="n"/>
      <c r="AS504" s="690" t="n"/>
      <c r="AT504" s="691">
        <f>IF(AJ504&lt;&gt;"",(IF(AV504="到貨","",(AJ504-TODAY()))),"")</f>
        <v/>
      </c>
      <c r="AU504" s="692">
        <f>IF(AO504&lt;&gt;"",(AO504-AE504),"")</f>
        <v/>
      </c>
      <c r="AV504" s="86">
        <f>IF(AI504&lt;&gt;"",IF(AS504&lt;&gt;"","到貨","5次發包中"),IF(AH504&lt;&gt;"",IF(AR504&lt;&gt;"","到貨","4次發包中"),IF(AG504&lt;&gt;"",IF(AQ504&lt;&gt;"","到貨","3次發包中"),IF(AF504&lt;&gt;"",IF(AP504&lt;&gt;"","到貨","2次發包中"),IF(AE504&lt;&gt;"",IF(AO504&lt;&gt;"","到貨","發包中"),"")))))</f>
        <v/>
      </c>
      <c r="AW504" s="86">
        <f>IF(OR($AW$6=Y504),$AW$6,"")</f>
        <v/>
      </c>
      <c r="AX504" s="87">
        <f t="array" ref="AX504">IF(OR(AV504:AW504={"到貨","庫存"}),"完成","")</f>
        <v/>
      </c>
      <c r="AY504" s="92">
        <f>E504*$M$1</f>
        <v/>
      </c>
    </row>
    <row r="505" outlineLevel="1" ht="14.25" customHeight="1">
      <c r="A505" s="67" t="n">
        <v>301</v>
      </c>
      <c r="B505" s="526" t="n"/>
      <c r="C505" s="393" t="n"/>
      <c r="D505" s="427" t="n"/>
      <c r="E505" s="526" t="n"/>
      <c r="F505" s="526" t="n"/>
      <c r="G505" s="527" t="n"/>
      <c r="H505" s="393" t="n"/>
      <c r="I505" s="528" t="n"/>
      <c r="J505" s="528" t="n"/>
      <c r="K505" s="528" t="n"/>
      <c r="L505" s="529" t="n"/>
      <c r="M505" s="529" t="n"/>
      <c r="N505" s="530" t="n"/>
      <c r="O505" s="531" t="n"/>
      <c r="P505" s="527" t="n"/>
      <c r="Q505" s="528" t="n"/>
      <c r="R505" s="528" t="n"/>
      <c r="S505" s="528" t="n"/>
      <c r="T505" s="543" t="n"/>
      <c r="U505" s="534" t="n"/>
      <c r="V505" s="516" t="n"/>
      <c r="W505" s="535" t="n"/>
      <c r="X505" s="536" t="n"/>
      <c r="Y505" s="519" t="n"/>
      <c r="Z505" s="683" t="n"/>
      <c r="AA505" s="684" t="n"/>
      <c r="AB505" s="684" t="n"/>
      <c r="AC505" s="684" t="n"/>
      <c r="AD505" s="685" t="n"/>
      <c r="AE505" s="686" t="n"/>
      <c r="AF505" s="684" t="n"/>
      <c r="AG505" s="687" t="n"/>
      <c r="AH505" s="687" t="n"/>
      <c r="AI505" s="684" t="n"/>
      <c r="AJ505" s="686" t="n"/>
      <c r="AK505" s="687" t="n"/>
      <c r="AL505" s="687" t="n"/>
      <c r="AM505" s="687" t="n"/>
      <c r="AN505" s="688" t="n"/>
      <c r="AO505" s="686" t="n"/>
      <c r="AP505" s="689" t="n"/>
      <c r="AQ505" s="689" t="n"/>
      <c r="AR505" s="689" t="n"/>
      <c r="AS505" s="690" t="n"/>
      <c r="AT505" s="691">
        <f>IF(AJ505&lt;&gt;"",(IF(AV505="到貨","",(AJ505-TODAY()))),"")</f>
        <v/>
      </c>
      <c r="AU505" s="692">
        <f>IF(AO505&lt;&gt;"",(AO505-AE505),"")</f>
        <v/>
      </c>
      <c r="AV505" s="86">
        <f>IF(AI505&lt;&gt;"",IF(AS505&lt;&gt;"","到貨","5次發包中"),IF(AH505&lt;&gt;"",IF(AR505&lt;&gt;"","到貨","4次發包中"),IF(AG505&lt;&gt;"",IF(AQ505&lt;&gt;"","到貨","3次發包中"),IF(AF505&lt;&gt;"",IF(AP505&lt;&gt;"","到貨","2次發包中"),IF(AE505&lt;&gt;"",IF(AO505&lt;&gt;"","到貨","發包中"),"")))))</f>
        <v/>
      </c>
      <c r="AW505" s="86">
        <f>IF(OR($AW$6=Y505),$AW$6,"")</f>
        <v/>
      </c>
      <c r="AX505" s="87">
        <f t="array" ref="AX505">IF(OR(AV505:AW505={"到貨","庫存"}),"完成","")</f>
        <v/>
      </c>
      <c r="AY505" s="92">
        <f>E505*$M$1</f>
        <v/>
      </c>
    </row>
    <row r="506" outlineLevel="1" ht="14.25" customHeight="1">
      <c r="A506" s="67" t="n">
        <v>301</v>
      </c>
      <c r="B506" s="526" t="n"/>
      <c r="C506" s="393" t="n"/>
      <c r="D506" s="427" t="n"/>
      <c r="E506" s="526" t="n"/>
      <c r="F506" s="526" t="n"/>
      <c r="G506" s="527" t="n"/>
      <c r="H506" s="393" t="n"/>
      <c r="I506" s="528" t="n"/>
      <c r="J506" s="528" t="n"/>
      <c r="K506" s="528" t="n"/>
      <c r="L506" s="529" t="n"/>
      <c r="M506" s="529" t="n"/>
      <c r="N506" s="530" t="n"/>
      <c r="O506" s="531" t="n"/>
      <c r="P506" s="527" t="n"/>
      <c r="Q506" s="528" t="n"/>
      <c r="R506" s="528" t="n"/>
      <c r="S506" s="528" t="n"/>
      <c r="T506" s="543" t="n"/>
      <c r="U506" s="534" t="n"/>
      <c r="V506" s="516" t="n"/>
      <c r="W506" s="535" t="n"/>
      <c r="X506" s="536" t="n"/>
      <c r="Y506" s="519" t="n"/>
      <c r="Z506" s="683" t="n"/>
      <c r="AA506" s="684" t="n"/>
      <c r="AB506" s="684" t="n"/>
      <c r="AC506" s="684" t="n"/>
      <c r="AD506" s="685" t="n"/>
      <c r="AE506" s="686" t="n"/>
      <c r="AF506" s="684" t="n"/>
      <c r="AG506" s="687" t="n"/>
      <c r="AH506" s="687" t="n"/>
      <c r="AI506" s="684" t="n"/>
      <c r="AJ506" s="686" t="n"/>
      <c r="AK506" s="687" t="n"/>
      <c r="AL506" s="687" t="n"/>
      <c r="AM506" s="687" t="n"/>
      <c r="AN506" s="688" t="n"/>
      <c r="AO506" s="686" t="n"/>
      <c r="AP506" s="689" t="n"/>
      <c r="AQ506" s="689" t="n"/>
      <c r="AR506" s="689" t="n"/>
      <c r="AS506" s="690" t="n"/>
      <c r="AT506" s="691">
        <f>IF(AJ506&lt;&gt;"",(IF(AV506="到貨","",(AJ506-TODAY()))),"")</f>
        <v/>
      </c>
      <c r="AU506" s="692">
        <f>IF(AO506&lt;&gt;"",(AO506-AE506),"")</f>
        <v/>
      </c>
      <c r="AV506" s="86">
        <f>IF(AI506&lt;&gt;"",IF(AS506&lt;&gt;"","到貨","5次發包中"),IF(AH506&lt;&gt;"",IF(AR506&lt;&gt;"","到貨","4次發包中"),IF(AG506&lt;&gt;"",IF(AQ506&lt;&gt;"","到貨","3次發包中"),IF(AF506&lt;&gt;"",IF(AP506&lt;&gt;"","到貨","2次發包中"),IF(AE506&lt;&gt;"",IF(AO506&lt;&gt;"","到貨","發包中"),"")))))</f>
        <v/>
      </c>
      <c r="AW506" s="86">
        <f>IF(OR($AW$6=Y506),$AW$6,"")</f>
        <v/>
      </c>
      <c r="AX506" s="87">
        <f t="array" ref="AX506">IF(OR(AV506:AW506={"到貨","庫存"}),"完成","")</f>
        <v/>
      </c>
      <c r="AY506" s="92">
        <f>E506*$M$1</f>
        <v/>
      </c>
    </row>
    <row r="507" outlineLevel="1" ht="14.25" customHeight="1">
      <c r="A507" s="67" t="n">
        <v>301</v>
      </c>
      <c r="B507" s="526" t="n"/>
      <c r="C507" s="393" t="n"/>
      <c r="D507" s="427" t="n"/>
      <c r="E507" s="526" t="n"/>
      <c r="F507" s="526" t="n"/>
      <c r="G507" s="527" t="n"/>
      <c r="H507" s="393" t="n"/>
      <c r="I507" s="528" t="n"/>
      <c r="J507" s="528" t="n"/>
      <c r="K507" s="528" t="n"/>
      <c r="L507" s="529" t="n"/>
      <c r="M507" s="529" t="n"/>
      <c r="N507" s="530" t="n"/>
      <c r="O507" s="531" t="n"/>
      <c r="P507" s="527" t="n"/>
      <c r="Q507" s="528" t="n"/>
      <c r="R507" s="528" t="n"/>
      <c r="S507" s="528" t="n"/>
      <c r="T507" s="543" t="n"/>
      <c r="U507" s="534" t="n"/>
      <c r="V507" s="516" t="n"/>
      <c r="W507" s="535" t="n"/>
      <c r="X507" s="536" t="n"/>
      <c r="Y507" s="519" t="n"/>
      <c r="Z507" s="683" t="n"/>
      <c r="AA507" s="684" t="n"/>
      <c r="AB507" s="684" t="n"/>
      <c r="AC507" s="684" t="n"/>
      <c r="AD507" s="685" t="n"/>
      <c r="AE507" s="686" t="n"/>
      <c r="AF507" s="684" t="n"/>
      <c r="AG507" s="687" t="n"/>
      <c r="AH507" s="687" t="n"/>
      <c r="AI507" s="684" t="n"/>
      <c r="AJ507" s="686" t="n"/>
      <c r="AK507" s="687" t="n"/>
      <c r="AL507" s="687" t="n"/>
      <c r="AM507" s="687" t="n"/>
      <c r="AN507" s="688" t="n"/>
      <c r="AO507" s="686" t="n"/>
      <c r="AP507" s="689" t="n"/>
      <c r="AQ507" s="689" t="n"/>
      <c r="AR507" s="689" t="n"/>
      <c r="AS507" s="690" t="n"/>
      <c r="AT507" s="691">
        <f>IF(AJ507&lt;&gt;"",(IF(AV507="到貨","",(AJ507-TODAY()))),"")</f>
        <v/>
      </c>
      <c r="AU507" s="692">
        <f>IF(AO507&lt;&gt;"",(AO507-AE507),"")</f>
        <v/>
      </c>
      <c r="AV507" s="86">
        <f>IF(AI507&lt;&gt;"",IF(AS507&lt;&gt;"","到貨","5次發包中"),IF(AH507&lt;&gt;"",IF(AR507&lt;&gt;"","到貨","4次發包中"),IF(AG507&lt;&gt;"",IF(AQ507&lt;&gt;"","到貨","3次發包中"),IF(AF507&lt;&gt;"",IF(AP507&lt;&gt;"","到貨","2次發包中"),IF(AE507&lt;&gt;"",IF(AO507&lt;&gt;"","到貨","發包中"),"")))))</f>
        <v/>
      </c>
      <c r="AW507" s="86">
        <f>IF(OR($AW$6=Y507),$AW$6,"")</f>
        <v/>
      </c>
      <c r="AX507" s="87">
        <f t="array" ref="AX507">IF(OR(AV507:AW507={"到貨","庫存"}),"完成","")</f>
        <v/>
      </c>
      <c r="AY507" s="92">
        <f>E507*$M$1</f>
        <v/>
      </c>
    </row>
    <row r="508" outlineLevel="1" ht="14.25" customHeight="1">
      <c r="A508" s="67" t="n">
        <v>301</v>
      </c>
      <c r="B508" s="526" t="n"/>
      <c r="C508" s="393" t="n"/>
      <c r="D508" s="427" t="n"/>
      <c r="E508" s="526" t="n"/>
      <c r="F508" s="526" t="n"/>
      <c r="G508" s="527" t="n"/>
      <c r="H508" s="393" t="n"/>
      <c r="I508" s="528" t="n"/>
      <c r="J508" s="528" t="n"/>
      <c r="K508" s="528" t="n"/>
      <c r="L508" s="529" t="n"/>
      <c r="M508" s="529" t="n"/>
      <c r="N508" s="530" t="n"/>
      <c r="O508" s="531" t="n"/>
      <c r="P508" s="527" t="n"/>
      <c r="Q508" s="528" t="n"/>
      <c r="R508" s="528" t="n"/>
      <c r="S508" s="528" t="n"/>
      <c r="T508" s="543" t="n"/>
      <c r="U508" s="534" t="n"/>
      <c r="V508" s="516" t="n"/>
      <c r="W508" s="535" t="n"/>
      <c r="X508" s="536" t="n"/>
      <c r="Y508" s="519" t="n"/>
      <c r="Z508" s="683" t="n"/>
      <c r="AA508" s="684" t="n"/>
      <c r="AB508" s="684" t="n"/>
      <c r="AC508" s="684" t="n"/>
      <c r="AD508" s="685" t="n"/>
      <c r="AE508" s="686" t="n"/>
      <c r="AF508" s="684" t="n"/>
      <c r="AG508" s="687" t="n"/>
      <c r="AH508" s="687" t="n"/>
      <c r="AI508" s="684" t="n"/>
      <c r="AJ508" s="686" t="n"/>
      <c r="AK508" s="687" t="n"/>
      <c r="AL508" s="687" t="n"/>
      <c r="AM508" s="687" t="n"/>
      <c r="AN508" s="688" t="n"/>
      <c r="AO508" s="686" t="n"/>
      <c r="AP508" s="689" t="n"/>
      <c r="AQ508" s="689" t="n"/>
      <c r="AR508" s="689" t="n"/>
      <c r="AS508" s="690" t="n"/>
      <c r="AT508" s="691">
        <f>IF(AJ508&lt;&gt;"",(IF(AV508="到貨","",(AJ508-TODAY()))),"")</f>
        <v/>
      </c>
      <c r="AU508" s="692">
        <f>IF(AO508&lt;&gt;"",(AO508-AE508),"")</f>
        <v/>
      </c>
      <c r="AV508" s="86">
        <f>IF(AI508&lt;&gt;"",IF(AS508&lt;&gt;"","到貨","5次發包中"),IF(AH508&lt;&gt;"",IF(AR508&lt;&gt;"","到貨","4次發包中"),IF(AG508&lt;&gt;"",IF(AQ508&lt;&gt;"","到貨","3次發包中"),IF(AF508&lt;&gt;"",IF(AP508&lt;&gt;"","到貨","2次發包中"),IF(AE508&lt;&gt;"",IF(AO508&lt;&gt;"","到貨","發包中"),"")))))</f>
        <v/>
      </c>
      <c r="AW508" s="86">
        <f>IF(OR($AW$6=Y508),$AW$6,"")</f>
        <v/>
      </c>
      <c r="AX508" s="87">
        <f t="array" ref="AX508">IF(OR(AV508:AW508={"到貨","庫存"}),"完成","")</f>
        <v/>
      </c>
      <c r="AY508" s="92">
        <f>E508*$M$1</f>
        <v/>
      </c>
    </row>
    <row r="509" outlineLevel="1" ht="14.25" customHeight="1">
      <c r="A509" s="67" t="n">
        <v>301</v>
      </c>
      <c r="B509" s="526" t="n"/>
      <c r="C509" s="393" t="n"/>
      <c r="D509" s="427" t="n"/>
      <c r="E509" s="526" t="n"/>
      <c r="F509" s="526" t="n"/>
      <c r="G509" s="527" t="n"/>
      <c r="H509" s="393" t="n"/>
      <c r="I509" s="528" t="n"/>
      <c r="J509" s="528" t="n"/>
      <c r="K509" s="528" t="n"/>
      <c r="L509" s="529" t="n"/>
      <c r="M509" s="529" t="n"/>
      <c r="N509" s="530" t="n"/>
      <c r="O509" s="531" t="n"/>
      <c r="P509" s="527" t="n"/>
      <c r="Q509" s="528" t="n"/>
      <c r="R509" s="528" t="n"/>
      <c r="S509" s="528" t="n"/>
      <c r="T509" s="543" t="n"/>
      <c r="U509" s="534" t="n"/>
      <c r="V509" s="516" t="n"/>
      <c r="W509" s="535" t="n"/>
      <c r="X509" s="536" t="n"/>
      <c r="Y509" s="519" t="n"/>
      <c r="Z509" s="683" t="n"/>
      <c r="AA509" s="684" t="n"/>
      <c r="AB509" s="684" t="n"/>
      <c r="AC509" s="684" t="n"/>
      <c r="AD509" s="685" t="n"/>
      <c r="AE509" s="686" t="n"/>
      <c r="AF509" s="684" t="n"/>
      <c r="AG509" s="687" t="n"/>
      <c r="AH509" s="687" t="n"/>
      <c r="AI509" s="684" t="n"/>
      <c r="AJ509" s="686" t="n"/>
      <c r="AK509" s="687" t="n"/>
      <c r="AL509" s="687" t="n"/>
      <c r="AM509" s="687" t="n"/>
      <c r="AN509" s="688" t="n"/>
      <c r="AO509" s="686" t="n"/>
      <c r="AP509" s="689" t="n"/>
      <c r="AQ509" s="689" t="n"/>
      <c r="AR509" s="689" t="n"/>
      <c r="AS509" s="690" t="n"/>
      <c r="AT509" s="691">
        <f>IF(AJ509&lt;&gt;"",(IF(AV509="到貨","",(AJ509-TODAY()))),"")</f>
        <v/>
      </c>
      <c r="AU509" s="692">
        <f>IF(AO509&lt;&gt;"",(AO509-AE509),"")</f>
        <v/>
      </c>
      <c r="AV509" s="86">
        <f>IF(AI509&lt;&gt;"",IF(AS509&lt;&gt;"","到貨","5次發包中"),IF(AH509&lt;&gt;"",IF(AR509&lt;&gt;"","到貨","4次發包中"),IF(AG509&lt;&gt;"",IF(AQ509&lt;&gt;"","到貨","3次發包中"),IF(AF509&lt;&gt;"",IF(AP509&lt;&gt;"","到貨","2次發包中"),IF(AE509&lt;&gt;"",IF(AO509&lt;&gt;"","到貨","發包中"),"")))))</f>
        <v/>
      </c>
      <c r="AW509" s="86">
        <f>IF(OR($AW$6=Y509),$AW$6,"")</f>
        <v/>
      </c>
      <c r="AX509" s="87">
        <f t="array" ref="AX509">IF(OR(AV509:AW509={"到貨","庫存"}),"完成","")</f>
        <v/>
      </c>
      <c r="AY509" s="92">
        <f>E509*$M$1</f>
        <v/>
      </c>
    </row>
    <row r="510" outlineLevel="1" ht="14.25" customHeight="1">
      <c r="A510" s="67" t="n">
        <v>301</v>
      </c>
      <c r="B510" s="526" t="n"/>
      <c r="C510" s="393" t="n"/>
      <c r="D510" s="427" t="n"/>
      <c r="E510" s="526" t="n"/>
      <c r="F510" s="526" t="n"/>
      <c r="G510" s="527" t="n"/>
      <c r="H510" s="393" t="n"/>
      <c r="I510" s="528" t="n"/>
      <c r="J510" s="528" t="n"/>
      <c r="K510" s="528" t="n"/>
      <c r="L510" s="529" t="n"/>
      <c r="M510" s="529" t="n"/>
      <c r="N510" s="530" t="n"/>
      <c r="O510" s="531" t="n"/>
      <c r="P510" s="527" t="n"/>
      <c r="Q510" s="528" t="n"/>
      <c r="R510" s="528" t="n"/>
      <c r="S510" s="528" t="n"/>
      <c r="T510" s="543" t="n"/>
      <c r="U510" s="534" t="n"/>
      <c r="V510" s="516" t="n"/>
      <c r="W510" s="535" t="n"/>
      <c r="X510" s="536" t="n"/>
      <c r="Y510" s="519" t="n"/>
      <c r="Z510" s="683" t="n"/>
      <c r="AA510" s="684" t="n"/>
      <c r="AB510" s="684" t="n"/>
      <c r="AC510" s="684" t="n"/>
      <c r="AD510" s="685" t="n"/>
      <c r="AE510" s="686" t="n"/>
      <c r="AF510" s="684" t="n"/>
      <c r="AG510" s="687" t="n"/>
      <c r="AH510" s="687" t="n"/>
      <c r="AI510" s="684" t="n"/>
      <c r="AJ510" s="686" t="n"/>
      <c r="AK510" s="687" t="n"/>
      <c r="AL510" s="687" t="n"/>
      <c r="AM510" s="687" t="n"/>
      <c r="AN510" s="688" t="n"/>
      <c r="AO510" s="686" t="n"/>
      <c r="AP510" s="689" t="n"/>
      <c r="AQ510" s="689" t="n"/>
      <c r="AR510" s="689" t="n"/>
      <c r="AS510" s="690" t="n"/>
      <c r="AT510" s="691">
        <f>IF(AJ510&lt;&gt;"",(IF(AV510="到貨","",(AJ510-TODAY()))),"")</f>
        <v/>
      </c>
      <c r="AU510" s="692">
        <f>IF(AO510&lt;&gt;"",(AO510-AE510),"")</f>
        <v/>
      </c>
      <c r="AV510" s="86">
        <f>IF(AI510&lt;&gt;"",IF(AS510&lt;&gt;"","到貨","5次發包中"),IF(AH510&lt;&gt;"",IF(AR510&lt;&gt;"","到貨","4次發包中"),IF(AG510&lt;&gt;"",IF(AQ510&lt;&gt;"","到貨","3次發包中"),IF(AF510&lt;&gt;"",IF(AP510&lt;&gt;"","到貨","2次發包中"),IF(AE510&lt;&gt;"",IF(AO510&lt;&gt;"","到貨","發包中"),"")))))</f>
        <v/>
      </c>
      <c r="AW510" s="86">
        <f>IF(OR($AW$6=Y510),$AW$6,"")</f>
        <v/>
      </c>
      <c r="AX510" s="87">
        <f t="array" ref="AX510">IF(OR(AV510:AW510={"到貨","庫存"}),"完成","")</f>
        <v/>
      </c>
      <c r="AY510" s="92">
        <f>E510*$M$1</f>
        <v/>
      </c>
    </row>
    <row r="511" outlineLevel="1" ht="14.25" customHeight="1">
      <c r="A511" s="67" t="n">
        <v>301</v>
      </c>
      <c r="B511" s="526" t="n"/>
      <c r="C511" s="393" t="n"/>
      <c r="D511" s="427" t="n"/>
      <c r="E511" s="526" t="n"/>
      <c r="F511" s="526" t="n"/>
      <c r="G511" s="527" t="n"/>
      <c r="H511" s="393" t="n"/>
      <c r="I511" s="528" t="n"/>
      <c r="J511" s="528" t="n"/>
      <c r="K511" s="528" t="n"/>
      <c r="L511" s="529" t="n"/>
      <c r="M511" s="529" t="n"/>
      <c r="N511" s="530" t="n"/>
      <c r="O511" s="531" t="n"/>
      <c r="P511" s="527" t="n"/>
      <c r="Q511" s="528" t="n"/>
      <c r="R511" s="528" t="n"/>
      <c r="S511" s="528" t="n"/>
      <c r="T511" s="543" t="n"/>
      <c r="U511" s="534" t="n"/>
      <c r="V511" s="516" t="n"/>
      <c r="W511" s="535" t="n"/>
      <c r="X511" s="536" t="n"/>
      <c r="Y511" s="519" t="n"/>
      <c r="Z511" s="683" t="n"/>
      <c r="AA511" s="684" t="n"/>
      <c r="AB511" s="684" t="n"/>
      <c r="AC511" s="684" t="n"/>
      <c r="AD511" s="685" t="n"/>
      <c r="AE511" s="686" t="n"/>
      <c r="AF511" s="684" t="n"/>
      <c r="AG511" s="687" t="n"/>
      <c r="AH511" s="687" t="n"/>
      <c r="AI511" s="684" t="n"/>
      <c r="AJ511" s="686" t="n"/>
      <c r="AK511" s="687" t="n"/>
      <c r="AL511" s="687" t="n"/>
      <c r="AM511" s="687" t="n"/>
      <c r="AN511" s="688" t="n"/>
      <c r="AO511" s="686" t="n"/>
      <c r="AP511" s="689" t="n"/>
      <c r="AQ511" s="689" t="n"/>
      <c r="AR511" s="689" t="n"/>
      <c r="AS511" s="690" t="n"/>
      <c r="AT511" s="691">
        <f>IF(AJ511&lt;&gt;"",(IF(AV511="到貨","",(AJ511-TODAY()))),"")</f>
        <v/>
      </c>
      <c r="AU511" s="692">
        <f>IF(AO511&lt;&gt;"",(AO511-AE511),"")</f>
        <v/>
      </c>
      <c r="AV511" s="86">
        <f>IF(AI511&lt;&gt;"",IF(AS511&lt;&gt;"","到貨","5次發包中"),IF(AH511&lt;&gt;"",IF(AR511&lt;&gt;"","到貨","4次發包中"),IF(AG511&lt;&gt;"",IF(AQ511&lt;&gt;"","到貨","3次發包中"),IF(AF511&lt;&gt;"",IF(AP511&lt;&gt;"","到貨","2次發包中"),IF(AE511&lt;&gt;"",IF(AO511&lt;&gt;"","到貨","發包中"),"")))))</f>
        <v/>
      </c>
      <c r="AW511" s="86">
        <f>IF(OR($AW$6=Y511),$AW$6,"")</f>
        <v/>
      </c>
      <c r="AX511" s="87">
        <f t="array" ref="AX511">IF(OR(AV511:AW511={"到貨","庫存"}),"完成","")</f>
        <v/>
      </c>
      <c r="AY511" s="92">
        <f>E511*$M$1</f>
        <v/>
      </c>
    </row>
    <row r="512" outlineLevel="1" ht="14.25" customHeight="1">
      <c r="A512" s="67" t="n">
        <v>504</v>
      </c>
      <c r="B512" s="168">
        <f>COUNT(B312:B511)</f>
        <v/>
      </c>
      <c r="C512" s="395" t="n"/>
      <c r="D512" s="431" t="n"/>
      <c r="E512" s="168" t="n"/>
      <c r="F512" s="168" t="n"/>
      <c r="G512" s="169" t="n"/>
      <c r="H512" s="395" t="n"/>
      <c r="I512" s="170" t="n"/>
      <c r="J512" s="170" t="n"/>
      <c r="K512" s="170" t="n"/>
      <c r="L512" s="171" t="n"/>
      <c r="M512" s="171" t="n"/>
      <c r="N512" s="172" t="n"/>
      <c r="O512" s="173" t="n"/>
      <c r="P512" s="118" t="n"/>
      <c r="Q512" s="170" t="n"/>
      <c r="R512" s="170" t="n"/>
      <c r="S512" s="170" t="n"/>
      <c r="T512" s="174" t="n"/>
      <c r="U512" s="175" t="n"/>
      <c r="V512" s="176" t="n"/>
      <c r="W512" s="177" t="n"/>
      <c r="X512" s="178" t="n"/>
      <c r="Y512" s="179" t="n"/>
      <c r="Z512" s="734" t="n"/>
      <c r="AA512" s="717" t="n"/>
      <c r="AB512" s="717" t="n"/>
      <c r="AC512" s="717" t="n"/>
      <c r="AD512" s="735" t="n"/>
      <c r="AE512" s="717" t="n"/>
      <c r="AF512" s="718" t="n"/>
      <c r="AG512" s="718" t="n"/>
      <c r="AH512" s="718" t="n"/>
      <c r="AI512" s="720" t="n"/>
      <c r="AJ512" s="723" t="n"/>
      <c r="AK512" s="718" t="n"/>
      <c r="AL512" s="718" t="n"/>
      <c r="AM512" s="718" t="n"/>
      <c r="AN512" s="736" t="n"/>
      <c r="AO512" s="723" t="n"/>
      <c r="AP512" s="718" t="n"/>
      <c r="AQ512" s="718" t="n"/>
      <c r="AR512" s="718" t="n"/>
      <c r="AS512" s="736" t="n"/>
      <c r="AT512" s="737">
        <f>IF(AJ512&lt;&gt;"",(IF(AV512="到貨","",(AJ512-TODAY()))),"")</f>
        <v/>
      </c>
      <c r="AU512" s="738">
        <f>IF(AO512&lt;&gt;"",(AO512-AE512),"")</f>
        <v/>
      </c>
      <c r="AV512" s="189">
        <f>IF(AI512&lt;&gt;"",IF(AS512&lt;&gt;"","到貨","5次發包中"),IF(AH512&lt;&gt;"",IF(AR512&lt;&gt;"","到貨","4次發包中"),IF(AG512&lt;&gt;"",IF(AQ512&lt;&gt;"","到貨","3次發包中"),IF(AF512&lt;&gt;"",IF(AP512&lt;&gt;"","到貨","2次發包中"),IF(AE512&lt;&gt;"",IF(AO512&lt;&gt;"","到貨","發包中"),"")))))</f>
        <v/>
      </c>
      <c r="AW512" s="189">
        <f>IF(OR($AW$6=Y512),$AW$6,"")</f>
        <v/>
      </c>
      <c r="AX512" s="190">
        <f t="array" ref="AX512">IF(OR(AV512:AW512={"到貨","庫存"}),"完成","")</f>
        <v/>
      </c>
      <c r="AY512" s="92">
        <f>E512*$M$1</f>
        <v/>
      </c>
    </row>
    <row r="513" ht="14.25" customHeight="1" thickBot="1">
      <c r="A513" s="67" t="n">
        <v>505</v>
      </c>
      <c r="B513" s="206" t="n"/>
      <c r="C513" s="397" t="n"/>
      <c r="D513" s="432" t="n"/>
      <c r="E513" s="208" t="n"/>
      <c r="F513" s="208" t="n"/>
      <c r="G513" s="207" t="inlineStr">
        <is>
          <t>至頁首(link)</t>
        </is>
      </c>
      <c r="H513" s="397" t="n"/>
      <c r="I513" s="209" t="inlineStr">
        <is>
          <t>至電機材料表．第306項次(link)</t>
        </is>
      </c>
      <c r="J513" s="210" t="n"/>
      <c r="K513" s="210" t="n"/>
      <c r="L513" s="199" t="n"/>
      <c r="M513" s="199" t="n"/>
      <c r="N513" s="200" t="n"/>
      <c r="O513" s="211" t="n"/>
      <c r="P513" s="212" t="n"/>
      <c r="Q513" s="213" t="n"/>
      <c r="R513" s="213" t="n"/>
      <c r="S513" s="213" t="n"/>
      <c r="T513" s="214" t="n"/>
      <c r="U513" s="215" t="n"/>
      <c r="V513" s="216" t="n"/>
      <c r="W513" s="217" t="n"/>
      <c r="X513" s="218" t="n"/>
      <c r="Y513" s="219" t="n"/>
      <c r="Z513" s="739" t="n"/>
      <c r="AA513" s="740" t="n"/>
      <c r="AB513" s="740" t="n"/>
      <c r="AC513" s="740" t="n"/>
      <c r="AD513" s="741" t="n"/>
      <c r="AE513" s="740" t="n"/>
      <c r="AF513" s="742" t="n"/>
      <c r="AG513" s="742" t="n"/>
      <c r="AH513" s="742" t="n"/>
      <c r="AI513" s="743" t="n"/>
      <c r="AJ513" s="744" t="n"/>
      <c r="AK513" s="742" t="n"/>
      <c r="AL513" s="742" t="n"/>
      <c r="AM513" s="742" t="n"/>
      <c r="AN513" s="745" t="n"/>
      <c r="AO513" s="744" t="n"/>
      <c r="AP513" s="742" t="n"/>
      <c r="AQ513" s="742" t="n"/>
      <c r="AR513" s="742" t="n"/>
      <c r="AS513" s="745" t="n"/>
      <c r="AT513" s="746">
        <f>IF(AJ513&lt;&gt;"",(IF(AV513="到貨","",(AJ513-TODAY()))),"")</f>
        <v/>
      </c>
      <c r="AU513" s="747">
        <f>IF(AO513&lt;&gt;"",(AO513-AE513),"")</f>
        <v/>
      </c>
      <c r="AV513" s="229">
        <f>IF(AI513&lt;&gt;"",IF(AS513&lt;&gt;"","到貨","5次發包中"),IF(AH513&lt;&gt;"",IF(AR513&lt;&gt;"","到貨","4次發包中"),IF(AG513&lt;&gt;"",IF(AQ513&lt;&gt;"","到貨","3次發包中"),IF(AF513&lt;&gt;"",IF(AP513&lt;&gt;"","到貨","2次發包中"),IF(AE513&lt;&gt;"",IF(AO513&lt;&gt;"","到貨","發包中"),"")))))</f>
        <v/>
      </c>
      <c r="AW513" s="229">
        <f>IF(OR($AW$6=Y513),$AW$6,"")</f>
        <v/>
      </c>
      <c r="AX513" s="230">
        <f t="array" ref="AX513">IF(OR(AV513:AW513={"到貨","庫存"}),"完成","")</f>
        <v/>
      </c>
      <c r="AY513" s="92">
        <f>E513*$M$1</f>
        <v/>
      </c>
    </row>
    <row r="514" outlineLevel="1" ht="14.25" customHeight="1">
      <c r="A514" s="67" t="n">
        <v>506</v>
      </c>
      <c r="B514" s="239" t="n">
        <v>1</v>
      </c>
      <c r="C514" s="398" t="n"/>
      <c r="D514" s="433" t="n"/>
      <c r="E514" s="239" t="n"/>
      <c r="F514" s="239" t="n"/>
      <c r="G514" s="240" t="inlineStr">
        <is>
          <t>運送費用：</t>
        </is>
      </c>
      <c r="H514" s="398" t="n"/>
      <c r="I514" s="241" t="n"/>
      <c r="J514" s="241" t="n"/>
      <c r="K514" s="241" t="n"/>
      <c r="L514" s="242" t="n"/>
      <c r="M514" s="242" t="n"/>
      <c r="N514" s="243" t="n"/>
      <c r="O514" s="244" t="n"/>
      <c r="P514" s="245" t="n"/>
      <c r="Q514" s="241" t="n"/>
      <c r="R514" s="241" t="n"/>
      <c r="S514" s="241" t="n"/>
      <c r="T514" s="246" t="n"/>
      <c r="U514" s="247" t="n"/>
      <c r="V514" s="248" t="n"/>
      <c r="W514" s="249" t="n"/>
      <c r="X514" s="250" t="n"/>
      <c r="Y514" s="251" t="n"/>
      <c r="Z514" s="748" t="n"/>
      <c r="AA514" s="749" t="n"/>
      <c r="AB514" s="749" t="n"/>
      <c r="AC514" s="749" t="n"/>
      <c r="AD514" s="750" t="n"/>
      <c r="AE514" s="749" t="n"/>
      <c r="AF514" s="751" t="n"/>
      <c r="AG514" s="751" t="n"/>
      <c r="AH514" s="751" t="n"/>
      <c r="AI514" s="752" t="n"/>
      <c r="AJ514" s="753" t="n"/>
      <c r="AK514" s="751" t="n"/>
      <c r="AL514" s="751" t="n"/>
      <c r="AM514" s="751" t="n"/>
      <c r="AN514" s="754" t="n"/>
      <c r="AO514" s="753" t="n"/>
      <c r="AP514" s="751" t="n"/>
      <c r="AQ514" s="751" t="n"/>
      <c r="AR514" s="751" t="n"/>
      <c r="AS514" s="754" t="n"/>
      <c r="AT514" s="755">
        <f>IF(AJ514&lt;&gt;"",(IF(AV514="到貨","",(AJ514-TODAY()))),"")</f>
        <v/>
      </c>
      <c r="AU514" s="756">
        <f>IF(AO514&lt;&gt;"",(AO514-AE514),"")</f>
        <v/>
      </c>
      <c r="AV514" s="261">
        <f>IF(AI514&lt;&gt;"",IF(AS514&lt;&gt;"","到貨","5次發包中"),IF(AH514&lt;&gt;"",IF(AR514&lt;&gt;"","到貨","4次發包中"),IF(AG514&lt;&gt;"",IF(AQ514&lt;&gt;"","到貨","3次發包中"),IF(AF514&lt;&gt;"",IF(AP514&lt;&gt;"","到貨","2次發包中"),IF(AE514&lt;&gt;"",IF(AO514&lt;&gt;"","到貨","發包中"),"")))))</f>
        <v/>
      </c>
      <c r="AW514" s="261">
        <f>IF(OR($AW$6=Y514),$AW$6,"")</f>
        <v/>
      </c>
      <c r="AX514" s="262">
        <f t="array" ref="AX514">IF(OR(AV514:AW514={"到貨","庫存"}),"完成","")</f>
        <v/>
      </c>
      <c r="AY514" s="92">
        <f>E514*$M$1</f>
        <v/>
      </c>
    </row>
    <row r="515" outlineLevel="1" ht="14.25" customHeight="1">
      <c r="A515" s="67" t="n">
        <v>507</v>
      </c>
      <c r="B515" s="68" t="n">
        <v>2</v>
      </c>
      <c r="C515" s="393" t="n"/>
      <c r="D515" s="427" t="n"/>
      <c r="E515" s="68" t="n"/>
      <c r="F515" s="68" t="n"/>
      <c r="G515" s="271" t="inlineStr">
        <is>
          <t>其他費用1：</t>
        </is>
      </c>
      <c r="H515" s="393" t="n"/>
      <c r="I515" s="498" t="n"/>
      <c r="J515" s="498" t="n"/>
      <c r="K515" s="498" t="n"/>
      <c r="L515" s="93" t="n"/>
      <c r="M515" s="93" t="n"/>
      <c r="N515" s="94" t="n"/>
      <c r="O515" s="95" t="n"/>
      <c r="P515" s="69" t="n"/>
      <c r="Q515" s="498" t="n"/>
      <c r="R515" s="498" t="n"/>
      <c r="S515" s="498" t="n"/>
      <c r="T515" s="71" t="n"/>
      <c r="U515" s="72" t="n"/>
      <c r="V515" s="73" t="n"/>
      <c r="W515" s="500" t="n"/>
      <c r="X515" s="501" t="n"/>
      <c r="Y515" s="76" t="n"/>
      <c r="Z515" s="757" t="n"/>
      <c r="AA515" s="758" t="n"/>
      <c r="AB515" s="758" t="n"/>
      <c r="AC515" s="758" t="n"/>
      <c r="AD515" s="759" t="n"/>
      <c r="AE515" s="758" t="n"/>
      <c r="AF515" s="689" t="n"/>
      <c r="AG515" s="689" t="n"/>
      <c r="AH515" s="689" t="n"/>
      <c r="AI515" s="760" t="n"/>
      <c r="AJ515" s="761" t="n"/>
      <c r="AK515" s="689" t="n"/>
      <c r="AL515" s="689" t="n"/>
      <c r="AM515" s="689" t="n"/>
      <c r="AN515" s="690" t="n"/>
      <c r="AO515" s="761" t="n"/>
      <c r="AP515" s="689" t="n"/>
      <c r="AQ515" s="689" t="n"/>
      <c r="AR515" s="689" t="n"/>
      <c r="AS515" s="690" t="n"/>
      <c r="AT515" s="691">
        <f>IF(AJ515&lt;&gt;"",(IF(AV515="到貨","",(AJ515-TODAY()))),"")</f>
        <v/>
      </c>
      <c r="AU515" s="692">
        <f>IF(AO515&lt;&gt;"",(AO515-AE515),"")</f>
        <v/>
      </c>
      <c r="AV515" s="86">
        <f>IF(AI515&lt;&gt;"",IF(AS515&lt;&gt;"","到貨","5次發包中"),IF(AH515&lt;&gt;"",IF(AR515&lt;&gt;"","到貨","4次發包中"),IF(AG515&lt;&gt;"",IF(AQ515&lt;&gt;"","到貨","3次發包中"),IF(AF515&lt;&gt;"",IF(AP515&lt;&gt;"","到貨","2次發包中"),IF(AE515&lt;&gt;"",IF(AO515&lt;&gt;"","到貨","發包中"),"")))))</f>
        <v/>
      </c>
      <c r="AW515" s="86">
        <f>IF(OR($AW$6=Y515),$AW$6,"")</f>
        <v/>
      </c>
      <c r="AX515" s="87">
        <f t="array" ref="AX515">IF(OR(AV515:AW515={"到貨","庫存"}),"完成","")</f>
        <v/>
      </c>
      <c r="AY515" s="92">
        <f>E515*$M$1</f>
        <v/>
      </c>
    </row>
    <row r="516" outlineLevel="1" ht="14.25" customHeight="1">
      <c r="A516" s="67" t="n">
        <v>508</v>
      </c>
      <c r="B516" s="68" t="n">
        <v>3</v>
      </c>
      <c r="C516" s="393" t="n"/>
      <c r="D516" s="427" t="n"/>
      <c r="E516" s="68" t="n"/>
      <c r="F516" s="68" t="n"/>
      <c r="G516" s="271" t="inlineStr">
        <is>
          <t>其他費用2：</t>
        </is>
      </c>
      <c r="H516" s="393" t="n"/>
      <c r="I516" s="498" t="n"/>
      <c r="J516" s="498" t="n"/>
      <c r="K516" s="498" t="n"/>
      <c r="L516" s="93" t="n"/>
      <c r="M516" s="93" t="n"/>
      <c r="N516" s="94" t="n"/>
      <c r="O516" s="95" t="n"/>
      <c r="P516" s="69" t="n"/>
      <c r="Q516" s="498" t="n"/>
      <c r="R516" s="498" t="n"/>
      <c r="S516" s="498" t="n"/>
      <c r="T516" s="71" t="n"/>
      <c r="U516" s="72" t="n"/>
      <c r="V516" s="73" t="n"/>
      <c r="W516" s="500" t="n"/>
      <c r="X516" s="501" t="n"/>
      <c r="Y516" s="76" t="n"/>
      <c r="Z516" s="757" t="n"/>
      <c r="AA516" s="758" t="n"/>
      <c r="AB516" s="758" t="n"/>
      <c r="AC516" s="758" t="n"/>
      <c r="AD516" s="759" t="n"/>
      <c r="AE516" s="758" t="n"/>
      <c r="AF516" s="689" t="n"/>
      <c r="AG516" s="689" t="n"/>
      <c r="AH516" s="689" t="n"/>
      <c r="AI516" s="760" t="n"/>
      <c r="AJ516" s="761" t="n"/>
      <c r="AK516" s="689" t="n"/>
      <c r="AL516" s="689" t="n"/>
      <c r="AM516" s="689" t="n"/>
      <c r="AN516" s="690" t="n"/>
      <c r="AO516" s="761" t="n"/>
      <c r="AP516" s="689" t="n"/>
      <c r="AQ516" s="689" t="n"/>
      <c r="AR516" s="689" t="n"/>
      <c r="AS516" s="690" t="n"/>
      <c r="AT516" s="691">
        <f>IF(AJ516&lt;&gt;"",(IF(AV516="到貨","",(AJ516-TODAY()))),"")</f>
        <v/>
      </c>
      <c r="AU516" s="692">
        <f>IF(AO516&lt;&gt;"",(AO516-AE516),"")</f>
        <v/>
      </c>
      <c r="AV516" s="86">
        <f>IF(AI516&lt;&gt;"",IF(AS516&lt;&gt;"","到貨","5次發包中"),IF(AH516&lt;&gt;"",IF(AR516&lt;&gt;"","到貨","4次發包中"),IF(AG516&lt;&gt;"",IF(AQ516&lt;&gt;"","到貨","3次發包中"),IF(AF516&lt;&gt;"",IF(AP516&lt;&gt;"","到貨","2次發包中"),IF(AE516&lt;&gt;"",IF(AO516&lt;&gt;"","到貨","發包中"),"")))))</f>
        <v/>
      </c>
      <c r="AW516" s="86">
        <f>IF(OR($AW$6=Y516),$AW$6,"")</f>
        <v/>
      </c>
      <c r="AX516" s="87">
        <f t="array" ref="AX516">IF(OR(AV516:AW516={"到貨","庫存"}),"完成","")</f>
        <v/>
      </c>
      <c r="AY516" s="92">
        <f>E516*$M$1</f>
        <v/>
      </c>
    </row>
    <row r="517" outlineLevel="1" ht="14.25" customHeight="1">
      <c r="A517" s="67" t="n">
        <v>509</v>
      </c>
      <c r="B517" s="68" t="n">
        <v>4</v>
      </c>
      <c r="C517" s="393" t="n"/>
      <c r="D517" s="427" t="n"/>
      <c r="E517" s="68" t="n"/>
      <c r="F517" s="68" t="n"/>
      <c r="G517" s="271" t="inlineStr">
        <is>
          <t>其他費用3：</t>
        </is>
      </c>
      <c r="H517" s="393" t="n"/>
      <c r="I517" s="498" t="n"/>
      <c r="J517" s="498" t="n"/>
      <c r="K517" s="498" t="n"/>
      <c r="L517" s="93" t="n"/>
      <c r="M517" s="93" t="n"/>
      <c r="N517" s="94" t="n"/>
      <c r="O517" s="95" t="n"/>
      <c r="P517" s="69" t="n"/>
      <c r="Q517" s="498" t="n"/>
      <c r="R517" s="498" t="n"/>
      <c r="S517" s="498" t="n"/>
      <c r="T517" s="71" t="n"/>
      <c r="U517" s="72" t="n"/>
      <c r="V517" s="73" t="n"/>
      <c r="W517" s="500" t="n"/>
      <c r="X517" s="501" t="n"/>
      <c r="Y517" s="76" t="n"/>
      <c r="Z517" s="757" t="n"/>
      <c r="AA517" s="758" t="n"/>
      <c r="AB517" s="758" t="n"/>
      <c r="AC517" s="758" t="n"/>
      <c r="AD517" s="759" t="n"/>
      <c r="AE517" s="758" t="n"/>
      <c r="AF517" s="689" t="n"/>
      <c r="AG517" s="689" t="n"/>
      <c r="AH517" s="689" t="n"/>
      <c r="AI517" s="760" t="n"/>
      <c r="AJ517" s="761" t="n"/>
      <c r="AK517" s="689" t="n"/>
      <c r="AL517" s="689" t="n"/>
      <c r="AM517" s="689" t="n"/>
      <c r="AN517" s="690" t="n"/>
      <c r="AO517" s="761" t="n"/>
      <c r="AP517" s="689" t="n"/>
      <c r="AQ517" s="689" t="n"/>
      <c r="AR517" s="689" t="n"/>
      <c r="AS517" s="690" t="n"/>
      <c r="AT517" s="691">
        <f>IF(AJ517&lt;&gt;"",(IF(AV517="到貨","",(AJ517-TODAY()))),"")</f>
        <v/>
      </c>
      <c r="AU517" s="692">
        <f>IF(AO517&lt;&gt;"",(AO517-AE517),"")</f>
        <v/>
      </c>
      <c r="AV517" s="86">
        <f>IF(AI517&lt;&gt;"",IF(AS517&lt;&gt;"","到貨","5次發包中"),IF(AH517&lt;&gt;"",IF(AR517&lt;&gt;"","到貨","4次發包中"),IF(AG517&lt;&gt;"",IF(AQ517&lt;&gt;"","到貨","3次發包中"),IF(AF517&lt;&gt;"",IF(AP517&lt;&gt;"","到貨","2次發包中"),IF(AE517&lt;&gt;"",IF(AO517&lt;&gt;"","到貨","發包中"),"")))))</f>
        <v/>
      </c>
      <c r="AW517" s="86">
        <f>IF(OR($AW$6=Y517),$AW$6,"")</f>
        <v/>
      </c>
      <c r="AX517" s="87">
        <f t="array" ref="AX517">IF(OR(AV517:AW517={"到貨","庫存"}),"完成","")</f>
        <v/>
      </c>
      <c r="AY517" s="92">
        <f>E517*$M$1</f>
        <v/>
      </c>
    </row>
    <row r="518" outlineLevel="1" ht="14.25" customHeight="1">
      <c r="A518" s="67" t="n">
        <v>510</v>
      </c>
      <c r="B518" s="68" t="n">
        <v>5</v>
      </c>
      <c r="C518" s="393" t="n"/>
      <c r="D518" s="427" t="n"/>
      <c r="E518" s="68" t="n"/>
      <c r="F518" s="68" t="n"/>
      <c r="G518" s="271" t="inlineStr">
        <is>
          <t>其他費用4：</t>
        </is>
      </c>
      <c r="H518" s="393" t="n"/>
      <c r="I518" s="498" t="n"/>
      <c r="J518" s="498" t="n"/>
      <c r="K518" s="498" t="n"/>
      <c r="L518" s="93" t="n"/>
      <c r="M518" s="93" t="n"/>
      <c r="N518" s="94" t="n"/>
      <c r="O518" s="95" t="n"/>
      <c r="P518" s="69" t="n"/>
      <c r="Q518" s="498" t="n"/>
      <c r="R518" s="498" t="n"/>
      <c r="S518" s="498" t="n"/>
      <c r="T518" s="71" t="n"/>
      <c r="U518" s="72" t="n"/>
      <c r="V518" s="73" t="n"/>
      <c r="W518" s="500" t="n"/>
      <c r="X518" s="501" t="n"/>
      <c r="Y518" s="76" t="n"/>
      <c r="Z518" s="757" t="n"/>
      <c r="AA518" s="758" t="n"/>
      <c r="AB518" s="758" t="n"/>
      <c r="AC518" s="758" t="n"/>
      <c r="AD518" s="759" t="n"/>
      <c r="AE518" s="758" t="n"/>
      <c r="AF518" s="689" t="n"/>
      <c r="AG518" s="689" t="n"/>
      <c r="AH518" s="689" t="n"/>
      <c r="AI518" s="760" t="n"/>
      <c r="AJ518" s="761" t="n"/>
      <c r="AK518" s="689" t="n"/>
      <c r="AL518" s="689" t="n"/>
      <c r="AM518" s="689" t="n"/>
      <c r="AN518" s="690" t="n"/>
      <c r="AO518" s="761" t="n"/>
      <c r="AP518" s="689" t="n"/>
      <c r="AQ518" s="689" t="n"/>
      <c r="AR518" s="689" t="n"/>
      <c r="AS518" s="690" t="n"/>
      <c r="AT518" s="691">
        <f>IF(AJ518&lt;&gt;"",(IF(AV518="到貨","",(AJ518-TODAY()))),"")</f>
        <v/>
      </c>
      <c r="AU518" s="692">
        <f>IF(AO518&lt;&gt;"",(AO518-AE518),"")</f>
        <v/>
      </c>
      <c r="AV518" s="86">
        <f>IF(AI518&lt;&gt;"",IF(AS518&lt;&gt;"","到貨","5次發包中"),IF(AH518&lt;&gt;"",IF(AR518&lt;&gt;"","到貨","4次發包中"),IF(AG518&lt;&gt;"",IF(AQ518&lt;&gt;"","到貨","3次發包中"),IF(AF518&lt;&gt;"",IF(AP518&lt;&gt;"","到貨","2次發包中"),IF(AE518&lt;&gt;"",IF(AO518&lt;&gt;"","到貨","發包中"),"")))))</f>
        <v/>
      </c>
      <c r="AW518" s="86">
        <f>IF(OR($AW$6=Y518),$AW$6,"")</f>
        <v/>
      </c>
      <c r="AX518" s="87">
        <f t="array" ref="AX518">IF(OR(AV518:AW518={"到貨","庫存"}),"完成","")</f>
        <v/>
      </c>
      <c r="AY518" s="92">
        <f>E518*$M$1</f>
        <v/>
      </c>
    </row>
    <row r="519" outlineLevel="1" ht="15" customHeight="1" thickBot="1">
      <c r="A519" s="272" t="n">
        <v>511</v>
      </c>
      <c r="B519" s="273" t="n">
        <v>6</v>
      </c>
      <c r="C519" s="399" t="n"/>
      <c r="D519" s="434" t="n"/>
      <c r="E519" s="273" t="n"/>
      <c r="F519" s="273" t="n"/>
      <c r="G519" s="274" t="inlineStr">
        <is>
          <t>其他費用5：</t>
        </is>
      </c>
      <c r="H519" s="399" t="n"/>
      <c r="I519" s="275" t="n"/>
      <c r="J519" s="275" t="n"/>
      <c r="K519" s="275" t="n"/>
      <c r="L519" s="276" t="n"/>
      <c r="M519" s="276" t="n"/>
      <c r="N519" s="277" t="n"/>
      <c r="O519" s="278" t="n"/>
      <c r="P519" s="279" t="n"/>
      <c r="Q519" s="275" t="n"/>
      <c r="R519" s="275" t="n"/>
      <c r="S519" s="275" t="n"/>
      <c r="T519" s="280" t="n"/>
      <c r="U519" s="281" t="n"/>
      <c r="V519" s="282" t="n"/>
      <c r="W519" s="283" t="n"/>
      <c r="X519" s="284" t="n"/>
      <c r="Y519" s="285" t="n"/>
      <c r="Z519" s="762" t="n"/>
      <c r="AA519" s="763" t="n"/>
      <c r="AB519" s="763" t="n"/>
      <c r="AC519" s="763" t="n"/>
      <c r="AD519" s="764" t="n"/>
      <c r="AE519" s="763" t="n"/>
      <c r="AF519" s="765" t="n"/>
      <c r="AG519" s="765" t="n"/>
      <c r="AH519" s="765" t="n"/>
      <c r="AI519" s="766" t="n"/>
      <c r="AJ519" s="767" t="n"/>
      <c r="AK519" s="765" t="n"/>
      <c r="AL519" s="765" t="n"/>
      <c r="AM519" s="765" t="n"/>
      <c r="AN519" s="768" t="n"/>
      <c r="AO519" s="767" t="n"/>
      <c r="AP519" s="765" t="n"/>
      <c r="AQ519" s="765" t="n"/>
      <c r="AR519" s="765" t="n"/>
      <c r="AS519" s="768" t="n"/>
      <c r="AT519" s="769">
        <f>IF(AJ519&lt;&gt;"",(IF(AV519="到貨","",(AJ519-TODAY()))),"")</f>
        <v/>
      </c>
      <c r="AU519" s="770">
        <f>IF(AO519&lt;&gt;"",(AO519-AE519),"")</f>
        <v/>
      </c>
      <c r="AV519" s="295">
        <f>IF(AI519&lt;&gt;"",IF(AS519&lt;&gt;"","到貨","5次發包中"),IF(AH519&lt;&gt;"",IF(AR519&lt;&gt;"","到貨","4次發包中"),IF(AG519&lt;&gt;"",IF(AQ519&lt;&gt;"","到貨","3次發包中"),IF(AF519&lt;&gt;"",IF(AP519&lt;&gt;"","到貨","2次發包中"),IF(AE519&lt;&gt;"",IF(AO519&lt;&gt;"","到貨","發包中"),"")))))</f>
        <v/>
      </c>
      <c r="AW519" s="295">
        <f>IF(OR($AW$6=Y519),$AW$6,"")</f>
        <v/>
      </c>
      <c r="AX519" s="296">
        <f t="array" ref="AX519">IF(OR(AV519:AW519={"到貨","庫存"}),"完成","")</f>
        <v/>
      </c>
      <c r="AY519" s="92">
        <f>E519*$M$1</f>
        <v/>
      </c>
    </row>
    <row r="520" outlineLevel="1" ht="14.25" customHeight="1" thickTop="1">
      <c r="A520" s="302" t="n"/>
      <c r="B520" s="338" t="n"/>
      <c r="C520" s="339" t="n"/>
      <c r="D520" s="338" t="n"/>
      <c r="E520" s="338" t="n"/>
      <c r="F520" s="338" t="n"/>
      <c r="G520" s="339" t="n"/>
      <c r="H520" s="339" t="n"/>
      <c r="I520" s="339" t="n"/>
      <c r="J520" s="339" t="n"/>
      <c r="K520" s="339" t="n"/>
      <c r="L520" s="340" t="n"/>
      <c r="M520" s="340" t="n"/>
      <c r="N520" s="340" t="n"/>
      <c r="O520" s="340" t="n"/>
      <c r="P520" s="339" t="n"/>
      <c r="Q520" s="339" t="n"/>
      <c r="R520" s="339" t="n"/>
      <c r="S520" s="339" t="n"/>
      <c r="T520" s="339" t="n"/>
      <c r="U520" s="306" t="n"/>
      <c r="V520" s="306" t="n"/>
      <c r="W520" s="307" t="n"/>
      <c r="X520" s="339" t="n"/>
      <c r="Y520" s="339" t="n"/>
      <c r="Z520" s="340" t="n"/>
      <c r="AA520" s="340" t="n"/>
      <c r="AB520" s="340" t="n"/>
      <c r="AC520" s="340" t="n"/>
      <c r="AD520" s="340" t="n"/>
      <c r="AE520" s="340" t="n"/>
      <c r="AF520" s="340" t="n"/>
      <c r="AG520" s="340" t="n"/>
      <c r="AH520" s="340" t="n"/>
      <c r="AI520" s="340" t="n"/>
      <c r="AJ520" s="340" t="n"/>
      <c r="AK520" s="340" t="n"/>
      <c r="AL520" s="340" t="n"/>
      <c r="AM520" s="340" t="n"/>
      <c r="AN520" s="340" t="n"/>
      <c r="AO520" s="340" t="n"/>
      <c r="AP520" s="340" t="n"/>
      <c r="AQ520" s="340" t="n"/>
      <c r="AR520" s="340" t="n"/>
      <c r="AS520" s="340" t="n"/>
      <c r="AT520" s="339" t="n"/>
      <c r="AU520" s="339" t="n"/>
      <c r="AV520" s="339" t="n"/>
      <c r="AW520" s="339" t="n"/>
      <c r="AX520" s="308" t="n"/>
      <c r="AY520" s="500" t="n"/>
    </row>
    <row r="521" outlineLevel="1" ht="14.25" customHeight="1">
      <c r="A521" s="302" t="n"/>
      <c r="B521" s="338" t="n"/>
      <c r="C521" s="339" t="n"/>
      <c r="D521" s="338" t="n"/>
      <c r="E521" s="338" t="n"/>
      <c r="F521" s="338" t="n"/>
      <c r="G521" s="339" t="n"/>
      <c r="H521" s="339" t="n"/>
      <c r="I521" s="339" t="n"/>
      <c r="J521" s="339" t="n"/>
      <c r="K521" s="339" t="n"/>
      <c r="L521" s="340" t="n"/>
      <c r="M521" s="340" t="n"/>
      <c r="N521" s="340" t="n"/>
      <c r="O521" s="340" t="n"/>
      <c r="P521" s="339" t="n"/>
      <c r="Q521" s="339" t="n"/>
      <c r="R521" s="339" t="n"/>
      <c r="S521" s="339" t="n"/>
      <c r="T521" s="339" t="n"/>
      <c r="U521" s="306" t="n"/>
      <c r="V521" s="306" t="n"/>
      <c r="W521" s="307" t="n"/>
      <c r="X521" s="339" t="n"/>
      <c r="Y521" s="339" t="n"/>
      <c r="Z521" s="340" t="n"/>
      <c r="AA521" s="340" t="n"/>
      <c r="AB521" s="340" t="n"/>
      <c r="AC521" s="340" t="n"/>
      <c r="AD521" s="340" t="n"/>
      <c r="AE521" s="340" t="n"/>
      <c r="AF521" s="340" t="n"/>
      <c r="AG521" s="340" t="n"/>
      <c r="AH521" s="340" t="n"/>
      <c r="AI521" s="340" t="n"/>
      <c r="AJ521" s="340" t="n"/>
      <c r="AK521" s="340" t="n"/>
      <c r="AL521" s="340" t="n"/>
      <c r="AM521" s="340" t="n"/>
      <c r="AN521" s="340" t="n"/>
      <c r="AO521" s="340" t="n"/>
      <c r="AP521" s="340" t="n"/>
      <c r="AQ521" s="340" t="n"/>
      <c r="AR521" s="340" t="n"/>
      <c r="AS521" s="340" t="n"/>
      <c r="AT521" s="339" t="n"/>
      <c r="AU521" s="339" t="n"/>
      <c r="AV521" s="339" t="n"/>
      <c r="AW521" s="339" t="n"/>
      <c r="AX521" s="313" t="n"/>
      <c r="AY521" s="500" t="n"/>
    </row>
    <row r="522" outlineLevel="1" ht="15" customHeight="1" thickBot="1">
      <c r="A522" s="316" t="n"/>
      <c r="B522" s="317" t="n"/>
      <c r="C522" s="318" t="n"/>
      <c r="D522" s="317" t="n"/>
      <c r="E522" s="317" t="n"/>
      <c r="F522" s="317" t="n"/>
      <c r="G522" s="318" t="n"/>
      <c r="H522" s="318" t="n"/>
      <c r="I522" s="318" t="n"/>
      <c r="J522" s="318" t="n"/>
      <c r="K522" s="318" t="n"/>
      <c r="L522" s="319" t="n"/>
      <c r="M522" s="319" t="n"/>
      <c r="N522" s="319" t="n"/>
      <c r="O522" s="319" t="n"/>
      <c r="P522" s="318" t="n"/>
      <c r="Q522" s="318" t="n"/>
      <c r="R522" s="318" t="n"/>
      <c r="S522" s="318" t="n"/>
      <c r="T522" s="318" t="n"/>
      <c r="U522" s="320" t="n"/>
      <c r="V522" s="320" t="n"/>
      <c r="W522" s="321" t="n"/>
      <c r="X522" s="318" t="n"/>
      <c r="Y522" s="318" t="n"/>
      <c r="Z522" s="319" t="n"/>
      <c r="AA522" s="319" t="n"/>
      <c r="AB522" s="319" t="n"/>
      <c r="AC522" s="319" t="n"/>
      <c r="AD522" s="319" t="n"/>
      <c r="AE522" s="319" t="n"/>
      <c r="AF522" s="319" t="n"/>
      <c r="AG522" s="319" t="n"/>
      <c r="AH522" s="319" t="n"/>
      <c r="AI522" s="319" t="n"/>
      <c r="AJ522" s="319" t="n"/>
      <c r="AK522" s="319" t="n"/>
      <c r="AL522" s="319" t="n"/>
      <c r="AM522" s="319" t="n"/>
      <c r="AN522" s="319" t="n"/>
      <c r="AO522" s="319" t="n"/>
      <c r="AP522" s="319" t="n"/>
      <c r="AQ522" s="319" t="n"/>
      <c r="AR522" s="319" t="n"/>
      <c r="AS522" s="319" t="n"/>
      <c r="AT522" s="318" t="n"/>
      <c r="AU522" s="318" t="n"/>
      <c r="AV522" s="318" t="n"/>
      <c r="AW522" s="318" t="n"/>
      <c r="AX522" s="322" t="n"/>
      <c r="AY522" s="500" t="n"/>
    </row>
    <row r="523" outlineLevel="1" ht="15" customHeight="1" thickBot="1">
      <c r="B523" s="338" t="n"/>
      <c r="C523" s="339" t="n"/>
      <c r="D523" s="338" t="n"/>
      <c r="E523" s="338" t="n"/>
      <c r="F523" s="338" t="n"/>
      <c r="G523" s="339" t="n"/>
      <c r="H523" s="339" t="n"/>
      <c r="I523" s="339" t="n"/>
      <c r="J523" s="339" t="n"/>
      <c r="K523" s="339" t="n"/>
      <c r="L523" s="340" t="n"/>
      <c r="M523" s="340" t="n"/>
      <c r="N523" s="340" t="n"/>
      <c r="O523" s="340" t="n"/>
      <c r="P523" s="339" t="n"/>
      <c r="Q523" s="339" t="n"/>
      <c r="R523" s="339" t="n"/>
      <c r="S523" s="339" t="n"/>
      <c r="T523" s="339" t="n"/>
      <c r="U523" s="341" t="n"/>
      <c r="V523" s="341" t="n"/>
      <c r="W523" s="339" t="n"/>
      <c r="X523" s="339" t="n"/>
      <c r="Y523" s="339" t="n"/>
      <c r="Z523" s="340" t="n"/>
      <c r="AA523" s="340" t="n"/>
      <c r="AB523" s="340" t="n"/>
      <c r="AC523" s="340" t="n"/>
      <c r="AD523" s="340" t="n"/>
      <c r="AE523" s="340" t="n"/>
      <c r="AF523" s="340" t="n"/>
      <c r="AG523" s="340" t="n"/>
      <c r="AH523" s="340" t="n"/>
      <c r="AI523" s="340" t="n"/>
      <c r="AJ523" s="340" t="n"/>
      <c r="AK523" s="340" t="n"/>
      <c r="AL523" s="340" t="n"/>
      <c r="AM523" s="340" t="n"/>
      <c r="AN523" s="340" t="n"/>
      <c r="AO523" s="340" t="n"/>
      <c r="AP523" s="340" t="n"/>
      <c r="AQ523" s="340" t="n"/>
      <c r="AR523" s="340" t="n"/>
      <c r="AS523" s="340" t="n"/>
      <c r="AT523" s="339" t="n"/>
      <c r="AU523" s="339" t="n"/>
      <c r="AV523" s="339" t="n"/>
      <c r="AW523" s="339" t="n"/>
      <c r="AX523" s="339" t="n"/>
      <c r="AY523" s="339" t="n"/>
    </row>
    <row r="524" outlineLevel="1" ht="15" customHeight="1" thickBot="1">
      <c r="B524" s="338" t="n"/>
      <c r="C524" s="339" t="n"/>
      <c r="D524" s="338" t="n"/>
      <c r="E524" s="338" t="n"/>
      <c r="F524" s="338" t="n"/>
      <c r="G524" s="339" t="n"/>
      <c r="H524" s="339" t="n"/>
      <c r="I524" s="339" t="n"/>
      <c r="J524" s="339" t="n"/>
      <c r="K524" s="339" t="n"/>
      <c r="L524" s="340" t="n"/>
      <c r="M524" s="340" t="n"/>
      <c r="N524" s="340" t="n"/>
      <c r="O524" s="340" t="n"/>
      <c r="P524" s="339" t="n"/>
      <c r="Q524" s="339" t="n"/>
      <c r="R524" s="339" t="n"/>
      <c r="S524" s="339" t="n"/>
      <c r="T524" s="339" t="n"/>
      <c r="U524" s="341" t="n"/>
      <c r="V524" s="341" t="n"/>
      <c r="W524" s="339" t="n"/>
      <c r="X524" s="339" t="n"/>
      <c r="Y524" s="339" t="n"/>
      <c r="Z524" s="340" t="n"/>
      <c r="AA524" s="340" t="n"/>
      <c r="AB524" s="340" t="n"/>
      <c r="AC524" s="340" t="n"/>
      <c r="AD524" s="340" t="n"/>
      <c r="AE524" s="340" t="n"/>
      <c r="AF524" s="340" t="n"/>
      <c r="AG524" s="340" t="n"/>
      <c r="AH524" s="340" t="n"/>
      <c r="AI524" s="340" t="n"/>
      <c r="AJ524" s="340" t="n"/>
      <c r="AK524" s="340" t="n"/>
      <c r="AL524" s="340" t="n"/>
      <c r="AM524" s="340" t="n"/>
      <c r="AN524" s="340" t="n"/>
      <c r="AO524" s="340" t="n"/>
      <c r="AP524" s="340" t="n"/>
      <c r="AQ524" s="340" t="n"/>
      <c r="AR524" s="340" t="n"/>
      <c r="AS524" s="340" t="n"/>
      <c r="AT524" s="339" t="n"/>
      <c r="AU524" s="339" t="n"/>
      <c r="AV524" s="339" t="n"/>
      <c r="AW524" s="339" t="n"/>
      <c r="AX524" s="339" t="n"/>
      <c r="AY524" s="339" t="n"/>
    </row>
    <row r="525" ht="15" customFormat="1" customHeight="1" s="66" thickBot="1">
      <c r="A525" s="337" t="n"/>
      <c r="B525" s="338" t="n"/>
      <c r="C525" s="339" t="n"/>
      <c r="D525" s="338" t="n"/>
      <c r="E525" s="338" t="n"/>
      <c r="F525" s="338" t="n"/>
      <c r="G525" s="339" t="n"/>
      <c r="H525" s="339" t="n"/>
      <c r="I525" s="339" t="n"/>
      <c r="J525" s="339" t="n"/>
      <c r="K525" s="339" t="n"/>
      <c r="L525" s="340" t="n"/>
      <c r="M525" s="340" t="n"/>
      <c r="N525" s="340" t="n"/>
      <c r="O525" s="340" t="n"/>
      <c r="P525" s="339" t="n"/>
      <c r="Q525" s="339" t="n"/>
      <c r="R525" s="339" t="n"/>
      <c r="S525" s="339" t="n"/>
      <c r="T525" s="339" t="n"/>
      <c r="U525" s="341" t="n"/>
      <c r="V525" s="341" t="n"/>
      <c r="W525" s="339" t="n"/>
      <c r="X525" s="339" t="n"/>
      <c r="Y525" s="339" t="n"/>
      <c r="Z525" s="340" t="n"/>
      <c r="AA525" s="340" t="n"/>
      <c r="AB525" s="340" t="n"/>
      <c r="AC525" s="340" t="n"/>
      <c r="AD525" s="340" t="n"/>
      <c r="AE525" s="340" t="n"/>
      <c r="AF525" s="340" t="n"/>
      <c r="AG525" s="340" t="n"/>
      <c r="AH525" s="340" t="n"/>
      <c r="AI525" s="340" t="n"/>
      <c r="AJ525" s="340" t="n"/>
      <c r="AK525" s="340" t="n"/>
      <c r="AL525" s="340" t="n"/>
      <c r="AM525" s="340" t="n"/>
      <c r="AN525" s="340" t="n"/>
      <c r="AO525" s="340" t="n"/>
      <c r="AP525" s="340" t="n"/>
      <c r="AQ525" s="340" t="n"/>
      <c r="AR525" s="340" t="n"/>
      <c r="AS525" s="340" t="n"/>
      <c r="AT525" s="339" t="n"/>
      <c r="AU525" s="339" t="n"/>
      <c r="AV525" s="339" t="n"/>
      <c r="AW525" s="339" t="n"/>
      <c r="AX525" s="339" t="n"/>
      <c r="AY525" s="339" t="n"/>
    </row>
    <row r="526">
      <c r="B526" s="338" t="n"/>
      <c r="C526" s="344" t="inlineStr">
        <is>
          <t>【說明：】</t>
        </is>
      </c>
      <c r="D526" s="435" t="n"/>
      <c r="E526" s="346" t="n"/>
      <c r="F526" s="346" t="n"/>
      <c r="G526" s="345" t="n"/>
      <c r="H526" s="376" t="n"/>
      <c r="I526" s="345" t="n"/>
      <c r="J526" s="347" t="n"/>
      <c r="K526" s="339" t="n"/>
      <c r="L526" s="340" t="n"/>
      <c r="M526" s="340" t="n"/>
      <c r="N526" s="340" t="n"/>
      <c r="O526" s="340" t="n"/>
      <c r="P526" s="339" t="n"/>
      <c r="Q526" s="339" t="n"/>
      <c r="R526" s="339" t="n"/>
      <c r="S526" s="339" t="n"/>
      <c r="T526" s="339" t="n"/>
      <c r="U526" s="341" t="n"/>
      <c r="V526" s="341" t="n"/>
      <c r="W526" s="339" t="n"/>
      <c r="X526" s="339" t="n"/>
      <c r="Y526" s="339" t="n"/>
      <c r="Z526" s="340" t="n"/>
      <c r="AA526" s="340" t="n"/>
      <c r="AB526" s="340" t="n"/>
      <c r="AC526" s="340" t="n"/>
      <c r="AD526" s="340" t="n"/>
      <c r="AE526" s="340" t="n"/>
      <c r="AF526" s="340" t="n"/>
      <c r="AG526" s="340" t="n"/>
      <c r="AH526" s="340" t="n"/>
      <c r="AI526" s="340" t="n"/>
      <c r="AJ526" s="340" t="n"/>
      <c r="AK526" s="340" t="n"/>
      <c r="AL526" s="340" t="n"/>
      <c r="AM526" s="340" t="n"/>
      <c r="AN526" s="340" t="n"/>
      <c r="AO526" s="340" t="n"/>
      <c r="AP526" s="340" t="n"/>
      <c r="AQ526" s="340" t="n"/>
      <c r="AR526" s="340" t="n"/>
      <c r="AS526" s="340" t="n"/>
      <c r="AT526" s="339" t="n"/>
      <c r="AU526" s="339" t="n"/>
      <c r="AV526" s="339" t="n"/>
      <c r="AW526" s="339" t="n"/>
      <c r="AX526" s="339" t="n"/>
      <c r="AY526" s="339" t="n"/>
    </row>
    <row r="527">
      <c r="B527" s="338" t="n"/>
      <c r="C527" s="348" t="inlineStr">
        <is>
          <t>1-</t>
        </is>
      </c>
      <c r="D527" s="338" t="n"/>
      <c r="E527" s="350" t="n"/>
      <c r="F527" s="350" t="n"/>
      <c r="G527" s="349" t="inlineStr">
        <is>
          <t>★機械材料表的項次：請從【列】6～305輸入。</t>
        </is>
      </c>
      <c r="I527" s="349" t="n"/>
      <c r="J527" s="351" t="n"/>
      <c r="K527" s="339" t="n"/>
      <c r="L527" s="340" t="n"/>
      <c r="M527" s="340" t="n"/>
      <c r="N527" s="340" t="n"/>
      <c r="O527" s="340" t="n"/>
      <c r="P527" s="339" t="n"/>
      <c r="Q527" s="339" t="n"/>
      <c r="R527" s="339" t="n"/>
      <c r="S527" s="339" t="n"/>
      <c r="T527" s="339" t="n"/>
      <c r="U527" s="341" t="n"/>
      <c r="V527" s="341" t="n"/>
      <c r="W527" s="339" t="n"/>
      <c r="X527" s="339" t="n"/>
      <c r="Y527" s="339" t="n"/>
      <c r="Z527" s="340" t="n"/>
      <c r="AA527" s="340" t="n"/>
      <c r="AB527" s="340" t="n"/>
      <c r="AC527" s="340" t="n"/>
      <c r="AD527" s="340" t="n"/>
      <c r="AE527" s="340" t="n"/>
      <c r="AF527" s="340" t="n"/>
      <c r="AG527" s="340" t="n"/>
      <c r="AH527" s="340" t="n"/>
      <c r="AI527" s="340" t="n"/>
      <c r="AJ527" s="340" t="n"/>
      <c r="AK527" s="340" t="n"/>
      <c r="AL527" s="340" t="n"/>
      <c r="AM527" s="340" t="n"/>
      <c r="AN527" s="340" t="n"/>
      <c r="AO527" s="340" t="n"/>
      <c r="AP527" s="340" t="n"/>
      <c r="AQ527" s="340" t="n"/>
      <c r="AR527" s="340" t="n"/>
      <c r="AS527" s="340" t="n"/>
      <c r="AT527" s="339" t="n"/>
      <c r="AU527" s="339" t="n"/>
      <c r="AV527" s="339" t="n"/>
      <c r="AW527" s="339" t="n"/>
      <c r="AX527" s="339" t="n"/>
      <c r="AY527" s="339" t="n"/>
    </row>
    <row r="528">
      <c r="B528" s="338" t="n"/>
      <c r="C528" s="348" t="inlineStr">
        <is>
          <t>2-</t>
        </is>
      </c>
      <c r="D528" s="338" t="n"/>
      <c r="E528" s="350" t="n"/>
      <c r="F528" s="350" t="n"/>
      <c r="G528" s="349" t="inlineStr">
        <is>
          <t>★電機材料表的項次：請從【列】306～505輸入。</t>
        </is>
      </c>
      <c r="I528" s="349" t="n"/>
      <c r="J528" s="351" t="n"/>
      <c r="K528" s="339" t="n"/>
      <c r="L528" s="340" t="n"/>
      <c r="M528" s="340" t="n"/>
      <c r="N528" s="340" t="n"/>
      <c r="O528" s="340" t="n"/>
      <c r="P528" s="339" t="n"/>
      <c r="Q528" s="339" t="n"/>
      <c r="R528" s="339" t="n"/>
      <c r="S528" s="339" t="n"/>
      <c r="T528" s="339" t="n"/>
      <c r="U528" s="341" t="n"/>
      <c r="V528" s="341" t="n"/>
      <c r="W528" s="339" t="n"/>
      <c r="X528" s="339" t="n"/>
      <c r="Y528" s="339" t="n"/>
      <c r="Z528" s="340" t="n"/>
      <c r="AA528" s="340" t="n"/>
      <c r="AB528" s="340" t="n"/>
      <c r="AC528" s="340" t="n"/>
      <c r="AD528" s="340" t="n"/>
      <c r="AE528" s="340" t="n"/>
      <c r="AF528" s="340" t="n"/>
      <c r="AG528" s="340" t="n"/>
      <c r="AH528" s="340" t="n"/>
      <c r="AI528" s="340" t="n"/>
      <c r="AJ528" s="340" t="n"/>
      <c r="AK528" s="340" t="n"/>
      <c r="AL528" s="340" t="n"/>
      <c r="AM528" s="340" t="n"/>
      <c r="AN528" s="340" t="n"/>
      <c r="AO528" s="340" t="n"/>
      <c r="AP528" s="340" t="n"/>
      <c r="AQ528" s="340" t="n"/>
      <c r="AR528" s="340" t="n"/>
      <c r="AS528" s="340" t="n"/>
      <c r="AT528" s="339" t="n"/>
      <c r="AU528" s="339" t="n"/>
      <c r="AV528" s="339" t="n"/>
      <c r="AW528" s="339" t="n"/>
      <c r="AX528" s="339" t="n"/>
      <c r="AY528" s="339" t="n"/>
    </row>
    <row r="529">
      <c r="B529" s="338" t="n"/>
      <c r="C529" s="487" t="inlineStr">
        <is>
          <t>3-</t>
        </is>
      </c>
      <c r="D529" s="488" t="n"/>
      <c r="E529" s="353" t="n"/>
      <c r="F529" s="353" t="n"/>
      <c r="G529" s="352" t="inlineStr">
        <is>
          <t>總LIST列出之後，新增的項目，皆以底色粉紅色顯示。</t>
        </is>
      </c>
      <c r="H529" s="382" t="n"/>
      <c r="I529" s="352" t="n"/>
      <c r="J529" s="491" t="n"/>
      <c r="K529" s="339" t="n"/>
      <c r="L529" s="340" t="n"/>
      <c r="M529" s="340" t="n"/>
      <c r="N529" s="340" t="n"/>
      <c r="O529" s="340" t="n"/>
      <c r="P529" s="339" t="n"/>
      <c r="Q529" s="339" t="n"/>
      <c r="R529" s="339" t="n"/>
      <c r="S529" s="339" t="n"/>
      <c r="T529" s="339" t="n"/>
      <c r="U529" s="341" t="n"/>
      <c r="V529" s="341" t="n"/>
      <c r="W529" s="339" t="n"/>
      <c r="X529" s="339" t="n"/>
      <c r="Y529" s="339" t="n"/>
      <c r="Z529" s="340" t="n"/>
      <c r="AA529" s="340" t="n"/>
      <c r="AB529" s="340" t="n"/>
      <c r="AC529" s="340" t="n"/>
      <c r="AD529" s="340" t="n"/>
      <c r="AE529" s="340" t="n"/>
      <c r="AF529" s="340" t="n"/>
      <c r="AG529" s="340" t="n"/>
      <c r="AH529" s="340" t="n"/>
      <c r="AI529" s="340" t="n"/>
      <c r="AJ529" s="340" t="n"/>
      <c r="AK529" s="340" t="n"/>
      <c r="AL529" s="340" t="n"/>
      <c r="AM529" s="340" t="n"/>
      <c r="AN529" s="340" t="n"/>
      <c r="AO529" s="340" t="n"/>
      <c r="AP529" s="340" t="n"/>
      <c r="AQ529" s="340" t="n"/>
      <c r="AR529" s="340" t="n"/>
      <c r="AS529" s="340" t="n"/>
      <c r="AT529" s="339" t="n"/>
      <c r="AU529" s="339" t="n"/>
      <c r="AV529" s="339" t="n"/>
      <c r="AW529" s="339" t="n"/>
      <c r="AX529" s="339" t="n"/>
      <c r="AY529" s="339" t="n"/>
    </row>
    <row r="530">
      <c r="B530" s="338" t="n"/>
      <c r="C530" s="489" t="inlineStr">
        <is>
          <t>4-</t>
        </is>
      </c>
      <c r="D530" s="490" t="n"/>
      <c r="E530" s="375" t="n"/>
      <c r="F530" s="375" t="n"/>
      <c r="G530" s="374" t="inlineStr">
        <is>
          <t>原BOM表的材料有修改，請以【底色黃色、字體紅色】顯示。</t>
        </is>
      </c>
      <c r="H530" s="383" t="n"/>
      <c r="I530" s="374" t="n"/>
      <c r="J530" s="492" t="n"/>
      <c r="K530" s="339" t="n"/>
      <c r="L530" s="340" t="n"/>
      <c r="M530" s="340" t="n"/>
      <c r="N530" s="340" t="n"/>
      <c r="O530" s="340" t="n"/>
      <c r="P530" s="339" t="n"/>
      <c r="Q530" s="339" t="n"/>
      <c r="R530" s="339" t="n"/>
      <c r="S530" s="339" t="n"/>
      <c r="T530" s="339" t="n"/>
      <c r="U530" s="341" t="n"/>
      <c r="V530" s="341" t="n"/>
      <c r="W530" s="339" t="n"/>
      <c r="X530" s="339" t="n"/>
      <c r="Y530" s="339" t="n"/>
      <c r="Z530" s="340" t="n"/>
      <c r="AA530" s="340" t="n"/>
      <c r="AB530" s="340" t="n"/>
      <c r="AC530" s="340" t="n"/>
      <c r="AD530" s="340" t="n"/>
      <c r="AE530" s="340" t="n"/>
      <c r="AF530" s="340" t="n"/>
      <c r="AG530" s="340" t="n"/>
      <c r="AH530" s="340" t="n"/>
      <c r="AI530" s="340" t="n"/>
      <c r="AJ530" s="340" t="n"/>
      <c r="AK530" s="340" t="n"/>
      <c r="AL530" s="340" t="n"/>
      <c r="AM530" s="340" t="n"/>
      <c r="AN530" s="340" t="n"/>
      <c r="AO530" s="340" t="n"/>
      <c r="AP530" s="340" t="n"/>
      <c r="AQ530" s="340" t="n"/>
      <c r="AR530" s="340" t="n"/>
      <c r="AS530" s="340" t="n"/>
      <c r="AT530" s="339" t="n"/>
      <c r="AU530" s="339" t="n"/>
      <c r="AV530" s="339" t="n"/>
      <c r="AW530" s="339" t="n"/>
      <c r="AX530" s="339" t="n"/>
      <c r="AY530" s="339" t="n"/>
    </row>
    <row r="531">
      <c r="B531" s="338" t="n"/>
      <c r="C531" s="348" t="inlineStr">
        <is>
          <t>5-</t>
        </is>
      </c>
      <c r="D531" s="338" t="n"/>
      <c r="E531" s="350" t="n"/>
      <c r="F531" s="350" t="n"/>
      <c r="G531" s="349" t="inlineStr">
        <is>
          <t>總LIST送至採購人員之後，新增的物料，請勿插入列，皆依順序以下遞增。</t>
        </is>
      </c>
      <c r="I531" s="349" t="n"/>
      <c r="J531" s="351" t="n"/>
      <c r="K531" s="339" t="n"/>
      <c r="L531" s="340" t="n"/>
      <c r="M531" s="340" t="n"/>
      <c r="N531" s="340" t="n"/>
      <c r="O531" s="340" t="n"/>
      <c r="P531" s="339" t="n"/>
      <c r="Q531" s="339" t="n"/>
      <c r="R531" s="339" t="n"/>
      <c r="S531" s="339" t="n"/>
      <c r="T531" s="339" t="n"/>
      <c r="U531" s="341" t="n"/>
      <c r="V531" s="341" t="n"/>
      <c r="W531" s="339" t="n"/>
      <c r="X531" s="339" t="n"/>
      <c r="Y531" s="339" t="n"/>
      <c r="Z531" s="340" t="n"/>
      <c r="AA531" s="340" t="n"/>
      <c r="AB531" s="340" t="n"/>
      <c r="AC531" s="340" t="n"/>
      <c r="AD531" s="340" t="n"/>
      <c r="AE531" s="340" t="n"/>
      <c r="AF531" s="340" t="n"/>
      <c r="AG531" s="340" t="n"/>
      <c r="AH531" s="340" t="n"/>
      <c r="AI531" s="340" t="n"/>
      <c r="AJ531" s="340" t="n"/>
      <c r="AK531" s="340" t="n"/>
      <c r="AL531" s="340" t="n"/>
      <c r="AM531" s="340" t="n"/>
      <c r="AN531" s="340" t="n"/>
      <c r="AO531" s="340" t="n"/>
      <c r="AP531" s="340" t="n"/>
      <c r="AQ531" s="340" t="n"/>
      <c r="AR531" s="340" t="n"/>
      <c r="AS531" s="340" t="n"/>
      <c r="AT531" s="339" t="n"/>
      <c r="AU531" s="339" t="n"/>
      <c r="AV531" s="339" t="n"/>
      <c r="AW531" s="339" t="n"/>
      <c r="AX531" s="339" t="n"/>
      <c r="AY531" s="339" t="n"/>
    </row>
    <row r="532">
      <c r="B532" s="338" t="n"/>
      <c r="C532" s="348" t="inlineStr">
        <is>
          <t>6-</t>
        </is>
      </c>
      <c r="D532" s="338" t="n"/>
      <c r="E532" s="350" t="n"/>
      <c r="F532" s="350" t="n"/>
      <c r="G532" s="349" t="inlineStr">
        <is>
          <t>行AR~AV、BI為公式，皆勿刪除與變動。</t>
        </is>
      </c>
      <c r="I532" s="349" t="n"/>
      <c r="J532" s="351" t="n"/>
      <c r="K532" s="339" t="n"/>
      <c r="L532" s="340" t="n"/>
      <c r="M532" s="340" t="n"/>
      <c r="N532" s="340" t="n"/>
      <c r="O532" s="340" t="n"/>
      <c r="P532" s="339" t="n"/>
      <c r="Q532" s="339" t="n"/>
      <c r="R532" s="339" t="n"/>
      <c r="S532" s="339" t="n"/>
      <c r="T532" s="339" t="n"/>
      <c r="U532" s="341" t="n"/>
      <c r="V532" s="341" t="n"/>
      <c r="W532" s="339" t="n"/>
      <c r="X532" s="339" t="n"/>
      <c r="Y532" s="339" t="n"/>
      <c r="Z532" s="340" t="n"/>
      <c r="AA532" s="340" t="n"/>
      <c r="AB532" s="340" t="n"/>
      <c r="AC532" s="340" t="n"/>
      <c r="AD532" s="340" t="n"/>
      <c r="AE532" s="340" t="n"/>
      <c r="AF532" s="340" t="n"/>
      <c r="AG532" s="340" t="n"/>
      <c r="AH532" s="340" t="n"/>
      <c r="AI532" s="340" t="n"/>
      <c r="AJ532" s="340" t="n"/>
      <c r="AK532" s="340" t="n"/>
      <c r="AL532" s="340" t="n"/>
      <c r="AM532" s="340" t="n"/>
      <c r="AN532" s="340" t="n"/>
      <c r="AO532" s="340" t="n"/>
      <c r="AP532" s="340" t="n"/>
      <c r="AQ532" s="340" t="n"/>
      <c r="AR532" s="340" t="n"/>
      <c r="AS532" s="340" t="n"/>
      <c r="AT532" s="339" t="n"/>
      <c r="AU532" s="339" t="n"/>
      <c r="AV532" s="339" t="n"/>
      <c r="AW532" s="339" t="n"/>
      <c r="AX532" s="339" t="n"/>
      <c r="AY532" s="339" t="n"/>
    </row>
    <row r="533">
      <c r="B533" s="338" t="n"/>
      <c r="C533" s="348" t="inlineStr">
        <is>
          <t>7-</t>
        </is>
      </c>
      <c r="D533" s="338" t="n"/>
      <c r="E533" s="350" t="n"/>
      <c r="F533" s="350" t="n"/>
      <c r="G533" s="349" t="inlineStr">
        <is>
          <t>Ver 3.3，2018/04/19。</t>
        </is>
      </c>
      <c r="I533" s="349" t="n"/>
      <c r="J533" s="351" t="n"/>
      <c r="K533" s="339" t="n"/>
      <c r="L533" s="340" t="n"/>
      <c r="M533" s="340" t="n"/>
      <c r="N533" s="340" t="n"/>
      <c r="O533" s="340" t="n"/>
      <c r="P533" s="339" t="n"/>
      <c r="Q533" s="339" t="n"/>
      <c r="R533" s="339" t="n"/>
      <c r="S533" s="339" t="n"/>
      <c r="T533" s="339" t="n"/>
      <c r="U533" s="341" t="n"/>
      <c r="V533" s="341" t="n"/>
      <c r="W533" s="339" t="n"/>
      <c r="X533" s="339" t="n"/>
      <c r="Y533" s="339" t="n"/>
      <c r="Z533" s="340" t="n"/>
      <c r="AA533" s="340" t="n"/>
      <c r="AB533" s="340" t="n"/>
      <c r="AC533" s="340" t="n"/>
      <c r="AD533" s="340" t="n"/>
      <c r="AE533" s="340" t="n"/>
      <c r="AF533" s="340" t="n"/>
      <c r="AG533" s="340" t="n"/>
      <c r="AH533" s="340" t="n"/>
      <c r="AI533" s="340" t="n"/>
      <c r="AJ533" s="340" t="n"/>
      <c r="AK533" s="340" t="n"/>
      <c r="AL533" s="340" t="n"/>
      <c r="AM533" s="340" t="n"/>
      <c r="AN533" s="340" t="n"/>
      <c r="AO533" s="340" t="n"/>
      <c r="AP533" s="340" t="n"/>
      <c r="AQ533" s="340" t="n"/>
      <c r="AR533" s="340" t="n"/>
      <c r="AS533" s="340" t="n"/>
      <c r="AT533" s="339" t="n"/>
      <c r="AU533" s="339" t="n"/>
      <c r="AV533" s="339" t="n"/>
      <c r="AW533" s="339" t="n"/>
      <c r="AX533" s="339" t="n"/>
      <c r="AY533" s="339" t="n"/>
    </row>
    <row r="534">
      <c r="B534" s="338" t="n"/>
      <c r="C534" s="354" t="n">
        <v>1</v>
      </c>
      <c r="D534" s="400" t="n"/>
      <c r="E534" s="355" t="n"/>
      <c r="F534" s="468" t="n"/>
      <c r="G534" s="469" t="inlineStr">
        <is>
          <t>有庫存。</t>
        </is>
      </c>
      <c r="H534" s="355" t="inlineStr">
        <is>
          <t>淺綠</t>
        </is>
      </c>
      <c r="I534" s="66" t="n"/>
      <c r="J534" s="351" t="n"/>
      <c r="K534" s="339" t="n"/>
      <c r="L534" s="340" t="n"/>
      <c r="M534" s="340" t="n"/>
      <c r="N534" s="340" t="n"/>
      <c r="O534" s="340" t="n"/>
      <c r="P534" s="339" t="n"/>
      <c r="Q534" s="339" t="n"/>
      <c r="R534" s="339" t="n"/>
      <c r="S534" s="339" t="n"/>
      <c r="T534" s="339" t="n"/>
      <c r="U534" s="341" t="n"/>
      <c r="V534" s="341" t="n"/>
      <c r="W534" s="339" t="n"/>
      <c r="X534" s="339" t="n"/>
      <c r="Y534" s="339" t="n"/>
      <c r="Z534" s="340" t="n"/>
      <c r="AA534" s="340" t="n"/>
      <c r="AB534" s="340" t="n"/>
      <c r="AC534" s="340" t="n"/>
      <c r="AD534" s="340" t="n"/>
      <c r="AE534" s="340" t="n"/>
      <c r="AF534" s="340" t="n"/>
      <c r="AG534" s="340" t="n"/>
      <c r="AH534" s="340" t="n"/>
      <c r="AI534" s="340" t="n"/>
      <c r="AJ534" s="340" t="n"/>
      <c r="AK534" s="340" t="n"/>
      <c r="AL534" s="340" t="n"/>
      <c r="AM534" s="340" t="n"/>
      <c r="AN534" s="340" t="n"/>
      <c r="AO534" s="340" t="n"/>
      <c r="AP534" s="340" t="n"/>
      <c r="AQ534" s="340" t="n"/>
      <c r="AR534" s="340" t="n"/>
      <c r="AS534" s="340" t="n"/>
      <c r="AT534" s="339" t="n"/>
      <c r="AU534" s="339" t="n"/>
      <c r="AV534" s="339" t="n"/>
      <c r="AW534" s="339" t="n"/>
      <c r="AX534" s="339" t="n"/>
      <c r="AY534" s="339" t="n"/>
    </row>
    <row r="535">
      <c r="B535" s="338" t="n"/>
      <c r="C535" s="356" t="n">
        <v>2</v>
      </c>
      <c r="D535" s="401" t="n"/>
      <c r="E535" s="357" t="n"/>
      <c r="F535" s="472" t="n"/>
      <c r="G535" s="473" t="inlineStr">
        <is>
          <t>先不用採購。</t>
        </is>
      </c>
      <c r="H535" s="357" t="inlineStr">
        <is>
          <t>白色,背景1,較深15%</t>
        </is>
      </c>
      <c r="I535" s="66" t="n"/>
      <c r="J535" s="351" t="n"/>
      <c r="K535" s="339" t="n"/>
      <c r="L535" s="340" t="n"/>
      <c r="M535" s="340" t="n"/>
      <c r="N535" s="340" t="n"/>
      <c r="O535" s="340" t="n"/>
      <c r="P535" s="339" t="n"/>
      <c r="Q535" s="339" t="n"/>
      <c r="R535" s="339" t="n"/>
      <c r="S535" s="339" t="n"/>
      <c r="T535" s="339" t="n"/>
      <c r="U535" s="341" t="n"/>
      <c r="V535" s="341" t="n"/>
      <c r="W535" s="339" t="n"/>
      <c r="X535" s="339" t="n"/>
      <c r="Y535" s="339" t="n"/>
      <c r="Z535" s="340" t="n"/>
      <c r="AA535" s="340" t="n"/>
      <c r="AB535" s="340" t="n"/>
      <c r="AC535" s="340" t="n"/>
      <c r="AD535" s="340" t="n"/>
      <c r="AE535" s="340" t="n"/>
      <c r="AF535" s="340" t="n"/>
      <c r="AG535" s="340" t="n"/>
      <c r="AH535" s="340" t="n"/>
      <c r="AI535" s="340" t="n"/>
      <c r="AJ535" s="340" t="n"/>
      <c r="AK535" s="340" t="n"/>
      <c r="AL535" s="340" t="n"/>
      <c r="AM535" s="340" t="n"/>
      <c r="AN535" s="340" t="n"/>
      <c r="AO535" s="340" t="n"/>
      <c r="AP535" s="340" t="n"/>
      <c r="AQ535" s="340" t="n"/>
      <c r="AR535" s="340" t="n"/>
      <c r="AS535" s="340" t="n"/>
      <c r="AT535" s="339" t="n"/>
      <c r="AU535" s="339" t="n"/>
      <c r="AV535" s="339" t="n"/>
      <c r="AW535" s="339" t="n"/>
      <c r="AX535" s="339" t="n"/>
      <c r="AY535" s="339" t="n"/>
    </row>
    <row r="536">
      <c r="B536" s="338" t="n"/>
      <c r="C536" s="358" t="n">
        <v>3</v>
      </c>
      <c r="D536" s="402" t="n"/>
      <c r="E536" s="359" t="n"/>
      <c r="F536" s="466" t="n"/>
      <c r="G536" s="467" t="inlineStr">
        <is>
          <t>負責人處理中，採購需再追蹤。</t>
        </is>
      </c>
      <c r="H536" s="359" t="inlineStr">
        <is>
          <t>黃色</t>
        </is>
      </c>
      <c r="I536" s="66" t="n"/>
      <c r="J536" s="351" t="n"/>
      <c r="K536" s="339" t="n"/>
      <c r="L536" s="340" t="n"/>
      <c r="M536" s="340" t="n"/>
      <c r="N536" s="340" t="n"/>
      <c r="O536" s="340" t="n"/>
      <c r="P536" s="339" t="n"/>
      <c r="Q536" s="339" t="n"/>
      <c r="R536" s="339" t="n"/>
      <c r="S536" s="339" t="n"/>
      <c r="T536" s="339" t="n"/>
      <c r="U536" s="341" t="n"/>
      <c r="V536" s="341" t="n"/>
      <c r="W536" s="339" t="n"/>
      <c r="X536" s="339" t="n"/>
      <c r="Y536" s="339" t="n"/>
      <c r="Z536" s="340" t="n"/>
      <c r="AA536" s="340" t="n"/>
      <c r="AB536" s="340" t="n"/>
      <c r="AC536" s="340" t="n"/>
      <c r="AD536" s="340" t="n"/>
      <c r="AE536" s="340" t="n"/>
      <c r="AF536" s="340" t="n"/>
      <c r="AG536" s="340" t="n"/>
      <c r="AH536" s="340" t="n"/>
      <c r="AI536" s="340" t="n"/>
      <c r="AJ536" s="340" t="n"/>
      <c r="AK536" s="340" t="n"/>
      <c r="AL536" s="340" t="n"/>
      <c r="AM536" s="340" t="n"/>
      <c r="AN536" s="340" t="n"/>
      <c r="AO536" s="340" t="n"/>
      <c r="AP536" s="340" t="n"/>
      <c r="AQ536" s="340" t="n"/>
      <c r="AR536" s="340" t="n"/>
      <c r="AS536" s="340" t="n"/>
      <c r="AT536" s="339" t="n"/>
      <c r="AU536" s="339" t="n"/>
      <c r="AV536" s="339" t="n"/>
      <c r="AW536" s="339" t="n"/>
      <c r="AX536" s="339" t="n"/>
      <c r="AY536" s="339" t="n"/>
    </row>
    <row r="537">
      <c r="B537" s="338" t="n"/>
      <c r="C537" s="360" t="n">
        <v>4</v>
      </c>
      <c r="D537" s="403" t="n"/>
      <c r="E537" s="361" t="n"/>
      <c r="F537" s="474" t="n"/>
      <c r="G537" s="475" t="inlineStr">
        <is>
          <t>名稱有問題，但需採購。</t>
        </is>
      </c>
      <c r="H537" s="361" t="inlineStr">
        <is>
          <t>淺藍</t>
        </is>
      </c>
      <c r="I537" s="66" t="n"/>
      <c r="J537" s="351" t="n"/>
      <c r="K537" s="339" t="n"/>
      <c r="L537" s="340" t="n"/>
      <c r="M537" s="340" t="n"/>
      <c r="N537" s="340" t="n"/>
      <c r="O537" s="340" t="n"/>
      <c r="P537" s="339" t="n"/>
      <c r="Q537" s="339" t="n"/>
      <c r="R537" s="339" t="n"/>
      <c r="S537" s="339" t="n"/>
      <c r="T537" s="339" t="n"/>
      <c r="U537" s="341" t="n"/>
      <c r="V537" s="341" t="n"/>
      <c r="W537" s="339" t="n"/>
      <c r="X537" s="339" t="n"/>
      <c r="Y537" s="339" t="n"/>
      <c r="Z537" s="340" t="n"/>
      <c r="AA537" s="340" t="n"/>
      <c r="AB537" s="340" t="n"/>
      <c r="AC537" s="340" t="n"/>
      <c r="AD537" s="340" t="n"/>
      <c r="AE537" s="340" t="n"/>
      <c r="AF537" s="340" t="n"/>
      <c r="AG537" s="340" t="n"/>
      <c r="AH537" s="340" t="n"/>
      <c r="AI537" s="340" t="n"/>
      <c r="AJ537" s="340" t="n"/>
      <c r="AK537" s="340" t="n"/>
      <c r="AL537" s="340" t="n"/>
      <c r="AM537" s="340" t="n"/>
      <c r="AN537" s="340" t="n"/>
      <c r="AO537" s="340" t="n"/>
      <c r="AP537" s="340" t="n"/>
      <c r="AQ537" s="340" t="n"/>
      <c r="AR537" s="340" t="n"/>
      <c r="AS537" s="340" t="n"/>
      <c r="AT537" s="339" t="n"/>
      <c r="AU537" s="339" t="n"/>
      <c r="AV537" s="339" t="n"/>
      <c r="AW537" s="339" t="n"/>
      <c r="AX537" s="339" t="n"/>
      <c r="AY537" s="339" t="n"/>
    </row>
    <row r="538">
      <c r="B538" s="338" t="n"/>
      <c r="C538" s="362" t="n">
        <v>5</v>
      </c>
      <c r="D538" s="404" t="n"/>
      <c r="E538" s="363" t="n"/>
      <c r="F538" s="476" t="n"/>
      <c r="G538" s="477" t="inlineStr">
        <is>
          <t>可以多量訂購，其他專案可用到。</t>
        </is>
      </c>
      <c r="H538" s="363" t="inlineStr">
        <is>
          <t>橙色</t>
        </is>
      </c>
      <c r="I538" s="66" t="n"/>
      <c r="J538" s="351" t="n"/>
      <c r="K538" s="339" t="n"/>
      <c r="L538" s="340" t="n"/>
      <c r="M538" s="340" t="n"/>
      <c r="N538" s="340" t="n"/>
      <c r="O538" s="340" t="n"/>
      <c r="P538" s="339" t="n"/>
      <c r="Q538" s="339" t="n"/>
      <c r="R538" s="339" t="n"/>
      <c r="S538" s="339" t="n"/>
      <c r="T538" s="339" t="n"/>
      <c r="U538" s="341" t="n"/>
      <c r="V538" s="341" t="n"/>
      <c r="W538" s="339" t="n"/>
      <c r="X538" s="339" t="n"/>
      <c r="Y538" s="339" t="n"/>
      <c r="Z538" s="340" t="n"/>
      <c r="AA538" s="340" t="n"/>
      <c r="AB538" s="340" t="n"/>
      <c r="AC538" s="340" t="n"/>
      <c r="AD538" s="340" t="n"/>
      <c r="AE538" s="340" t="n"/>
      <c r="AF538" s="340" t="n"/>
      <c r="AG538" s="340" t="n"/>
      <c r="AH538" s="340" t="n"/>
      <c r="AI538" s="340" t="n"/>
      <c r="AJ538" s="340" t="n"/>
      <c r="AK538" s="340" t="n"/>
      <c r="AL538" s="340" t="n"/>
      <c r="AM538" s="340" t="n"/>
      <c r="AN538" s="340" t="n"/>
      <c r="AO538" s="340" t="n"/>
      <c r="AP538" s="340" t="n"/>
      <c r="AQ538" s="340" t="n"/>
      <c r="AR538" s="340" t="n"/>
      <c r="AS538" s="340" t="n"/>
      <c r="AT538" s="339" t="n"/>
      <c r="AU538" s="339" t="n"/>
      <c r="AV538" s="339" t="n"/>
      <c r="AW538" s="339" t="n"/>
      <c r="AX538" s="339" t="n"/>
      <c r="AY538" s="339" t="n"/>
    </row>
    <row r="539">
      <c r="B539" s="338" t="n"/>
      <c r="C539" s="364" t="n">
        <v>6</v>
      </c>
      <c r="D539" s="405" t="n"/>
      <c r="E539" s="365" t="n"/>
      <c r="F539" s="470" t="n"/>
      <c r="G539" s="471" t="inlineStr">
        <is>
          <t>注意文字敘述，附註給廠商（重點說明）。</t>
        </is>
      </c>
      <c r="H539" s="365" t="inlineStr">
        <is>
          <t>紅色</t>
        </is>
      </c>
      <c r="I539" s="66" t="n"/>
      <c r="J539" s="351" t="n"/>
      <c r="K539" s="339" t="n"/>
      <c r="L539" s="340" t="n"/>
      <c r="M539" s="340" t="n"/>
      <c r="N539" s="340" t="n"/>
      <c r="O539" s="340" t="n"/>
      <c r="P539" s="339" t="n"/>
      <c r="Q539" s="339" t="n"/>
      <c r="R539" s="339" t="n"/>
      <c r="S539" s="339" t="n"/>
      <c r="T539" s="339" t="n"/>
      <c r="U539" s="341" t="n"/>
      <c r="V539" s="341" t="n"/>
      <c r="W539" s="339" t="n"/>
      <c r="X539" s="339" t="n"/>
      <c r="Y539" s="339" t="n"/>
      <c r="Z539" s="340" t="n"/>
      <c r="AA539" s="340" t="n"/>
      <c r="AB539" s="340" t="n"/>
      <c r="AC539" s="340" t="n"/>
      <c r="AD539" s="340" t="n"/>
      <c r="AE539" s="340" t="n"/>
      <c r="AF539" s="340" t="n"/>
      <c r="AG539" s="340" t="n"/>
      <c r="AH539" s="340" t="n"/>
      <c r="AI539" s="340" t="n"/>
      <c r="AJ539" s="340" t="n"/>
      <c r="AK539" s="340" t="n"/>
      <c r="AL539" s="340" t="n"/>
      <c r="AM539" s="340" t="n"/>
      <c r="AN539" s="340" t="n"/>
      <c r="AO539" s="340" t="n"/>
      <c r="AP539" s="340" t="n"/>
      <c r="AQ539" s="340" t="n"/>
      <c r="AR539" s="340" t="n"/>
      <c r="AS539" s="340" t="n"/>
      <c r="AT539" s="339" t="n"/>
      <c r="AU539" s="339" t="n"/>
      <c r="AV539" s="339" t="n"/>
      <c r="AW539" s="339" t="n"/>
      <c r="AX539" s="339" t="n"/>
      <c r="AY539" s="339" t="n"/>
    </row>
    <row r="540">
      <c r="B540" s="338" t="n"/>
      <c r="C540" s="366" t="n">
        <v>7</v>
      </c>
      <c r="D540" s="406" t="n"/>
      <c r="E540" s="367" t="n"/>
      <c r="F540" s="480" t="n"/>
      <c r="G540" s="481" t="inlineStr">
        <is>
          <t>進貨日期（需求日期）。</t>
        </is>
      </c>
      <c r="H540" s="367" t="inlineStr">
        <is>
          <t>紫色</t>
        </is>
      </c>
      <c r="I540" s="66" t="n"/>
      <c r="J540" s="351" t="n"/>
      <c r="K540" s="339" t="n"/>
      <c r="L540" s="340" t="n"/>
      <c r="M540" s="340" t="n"/>
      <c r="N540" s="340" t="n"/>
      <c r="O540" s="340" t="n"/>
      <c r="P540" s="339" t="n"/>
      <c r="Q540" s="339" t="n"/>
      <c r="R540" s="339" t="n"/>
      <c r="S540" s="339" t="n"/>
      <c r="T540" s="339" t="n"/>
      <c r="U540" s="341" t="n"/>
      <c r="V540" s="341" t="n"/>
      <c r="W540" s="339" t="n"/>
      <c r="X540" s="339" t="n"/>
      <c r="Y540" s="339" t="n"/>
      <c r="Z540" s="340" t="n"/>
      <c r="AA540" s="340" t="n"/>
      <c r="AB540" s="340" t="n"/>
      <c r="AC540" s="340" t="n"/>
      <c r="AD540" s="340" t="n"/>
      <c r="AE540" s="340" t="n"/>
      <c r="AF540" s="340" t="n"/>
      <c r="AG540" s="340" t="n"/>
      <c r="AH540" s="340" t="n"/>
      <c r="AI540" s="340" t="n"/>
      <c r="AJ540" s="340" t="n"/>
      <c r="AK540" s="340" t="n"/>
      <c r="AL540" s="340" t="n"/>
      <c r="AM540" s="340" t="n"/>
      <c r="AN540" s="340" t="n"/>
      <c r="AO540" s="340" t="n"/>
      <c r="AP540" s="340" t="n"/>
      <c r="AQ540" s="340" t="n"/>
      <c r="AR540" s="340" t="n"/>
      <c r="AS540" s="340" t="n"/>
      <c r="AT540" s="339" t="n"/>
      <c r="AU540" s="339" t="n"/>
      <c r="AV540" s="339" t="n"/>
      <c r="AW540" s="339" t="n"/>
      <c r="AX540" s="339" t="n"/>
      <c r="AY540" s="339" t="n"/>
    </row>
    <row r="541">
      <c r="B541" s="338" t="n"/>
      <c r="C541" s="368" t="n">
        <v>8</v>
      </c>
      <c r="D541" s="407" t="n"/>
      <c r="E541" s="369" t="n"/>
      <c r="F541" s="482" t="n"/>
      <c r="G541" s="483" t="inlineStr">
        <is>
          <t>交機前原始BOM表開立之後，再新增的產品零件。</t>
        </is>
      </c>
      <c r="H541" s="369" t="inlineStr">
        <is>
          <t>淡紫</t>
        </is>
      </c>
      <c r="I541" s="66" t="n"/>
      <c r="J541" s="351" t="n"/>
      <c r="K541" s="339" t="n"/>
      <c r="L541" s="340" t="n"/>
      <c r="M541" s="340" t="n"/>
      <c r="N541" s="340" t="n"/>
      <c r="O541" s="340" t="n"/>
      <c r="P541" s="339" t="n"/>
      <c r="Q541" s="339" t="n"/>
      <c r="R541" s="339" t="n"/>
      <c r="S541" s="339" t="n"/>
      <c r="T541" s="339" t="n"/>
      <c r="U541" s="341" t="n"/>
      <c r="V541" s="341" t="n"/>
      <c r="W541" s="339" t="n"/>
      <c r="X541" s="339" t="n"/>
      <c r="Y541" s="339" t="n"/>
      <c r="Z541" s="340" t="n"/>
      <c r="AA541" s="340" t="n"/>
      <c r="AB541" s="340" t="n"/>
      <c r="AC541" s="340" t="n"/>
      <c r="AD541" s="340" t="n"/>
      <c r="AE541" s="340" t="n"/>
      <c r="AF541" s="340" t="n"/>
      <c r="AG541" s="340" t="n"/>
      <c r="AH541" s="340" t="n"/>
      <c r="AI541" s="340" t="n"/>
      <c r="AJ541" s="340" t="n"/>
      <c r="AK541" s="340" t="n"/>
      <c r="AL541" s="340" t="n"/>
      <c r="AM541" s="340" t="n"/>
      <c r="AN541" s="340" t="n"/>
      <c r="AO541" s="340" t="n"/>
      <c r="AP541" s="340" t="n"/>
      <c r="AQ541" s="340" t="n"/>
      <c r="AR541" s="340" t="n"/>
      <c r="AS541" s="340" t="n"/>
      <c r="AT541" s="339" t="n"/>
      <c r="AU541" s="339" t="n"/>
      <c r="AV541" s="339" t="n"/>
      <c r="AW541" s="339" t="n"/>
      <c r="AX541" s="339" t="n"/>
      <c r="AY541" s="339" t="n"/>
    </row>
    <row r="542">
      <c r="B542" s="338" t="n"/>
      <c r="C542" s="370" t="n">
        <v>9</v>
      </c>
      <c r="D542" s="408" t="n"/>
      <c r="E542" s="371" t="n"/>
      <c r="F542" s="484" t="n"/>
      <c r="G542" s="485" t="inlineStr">
        <is>
          <t>先詢價，待確認機台使用與否，購買前要先確認。</t>
        </is>
      </c>
      <c r="H542" s="371" t="inlineStr">
        <is>
          <t>淺黃</t>
        </is>
      </c>
      <c r="I542" s="66" t="n"/>
      <c r="J542" s="351" t="n"/>
      <c r="K542" s="339" t="n"/>
      <c r="L542" s="340" t="n"/>
      <c r="M542" s="340" t="n"/>
      <c r="N542" s="340" t="n"/>
      <c r="O542" s="340" t="n"/>
      <c r="P542" s="339" t="n"/>
      <c r="Q542" s="339" t="n"/>
      <c r="R542" s="339" t="n"/>
      <c r="S542" s="339" t="n"/>
      <c r="T542" s="339" t="n"/>
      <c r="U542" s="341" t="n"/>
      <c r="V542" s="341" t="n"/>
      <c r="W542" s="339" t="n"/>
      <c r="X542" s="339" t="n"/>
      <c r="Y542" s="339" t="n"/>
      <c r="Z542" s="340" t="n"/>
      <c r="AA542" s="340" t="n"/>
      <c r="AB542" s="340" t="n"/>
      <c r="AC542" s="340" t="n"/>
      <c r="AD542" s="340" t="n"/>
      <c r="AE542" s="340" t="n"/>
      <c r="AF542" s="340" t="n"/>
      <c r="AG542" s="340" t="n"/>
      <c r="AH542" s="340" t="n"/>
      <c r="AI542" s="340" t="n"/>
      <c r="AJ542" s="340" t="n"/>
      <c r="AK542" s="340" t="n"/>
      <c r="AL542" s="340" t="n"/>
      <c r="AM542" s="340" t="n"/>
      <c r="AN542" s="340" t="n"/>
      <c r="AO542" s="340" t="n"/>
      <c r="AP542" s="340" t="n"/>
      <c r="AQ542" s="340" t="n"/>
      <c r="AR542" s="340" t="n"/>
      <c r="AS542" s="340" t="n"/>
      <c r="AT542" s="339" t="n"/>
      <c r="AU542" s="339" t="n"/>
      <c r="AV542" s="339" t="n"/>
      <c r="AW542" s="339" t="n"/>
      <c r="AX542" s="339" t="n"/>
      <c r="AY542" s="339" t="n"/>
    </row>
    <row r="543">
      <c r="B543" s="338" t="n"/>
      <c r="C543" s="372" t="n">
        <v>10</v>
      </c>
      <c r="D543" s="409" t="n"/>
      <c r="E543" s="409" t="n"/>
      <c r="F543" s="478" t="n"/>
      <c r="G543" s="479" t="inlineStr">
        <is>
          <t>物品已經放置於專案架上。</t>
        </is>
      </c>
      <c r="H543" s="390" t="inlineStr">
        <is>
          <t>●</t>
        </is>
      </c>
      <c r="I543" s="66" t="n"/>
      <c r="J543" s="351" t="n"/>
      <c r="K543" s="339" t="n"/>
      <c r="L543" s="340" t="n"/>
      <c r="M543" s="340" t="n"/>
      <c r="N543" s="340" t="n"/>
      <c r="O543" s="340" t="n"/>
      <c r="P543" s="339" t="n"/>
      <c r="Q543" s="339" t="n"/>
      <c r="R543" s="339" t="n"/>
      <c r="S543" s="339" t="n"/>
      <c r="T543" s="339" t="n"/>
      <c r="U543" s="341" t="n"/>
      <c r="V543" s="341" t="n"/>
      <c r="W543" s="339" t="n"/>
      <c r="X543" s="339" t="n"/>
      <c r="Y543" s="339" t="n"/>
      <c r="Z543" s="340" t="n"/>
      <c r="AA543" s="340" t="n"/>
      <c r="AB543" s="340" t="n"/>
      <c r="AC543" s="340" t="n"/>
      <c r="AD543" s="340" t="n"/>
      <c r="AE543" s="340" t="n"/>
      <c r="AF543" s="340" t="n"/>
      <c r="AG543" s="340" t="n"/>
      <c r="AH543" s="340" t="n"/>
      <c r="AI543" s="340" t="n"/>
      <c r="AJ543" s="340" t="n"/>
      <c r="AK543" s="340" t="n"/>
      <c r="AL543" s="340" t="n"/>
      <c r="AM543" s="340" t="n"/>
      <c r="AN543" s="340" t="n"/>
      <c r="AO543" s="340" t="n"/>
      <c r="AP543" s="340" t="n"/>
      <c r="AQ543" s="340" t="n"/>
      <c r="AR543" s="340" t="n"/>
      <c r="AS543" s="340" t="n"/>
      <c r="AT543" s="339" t="n"/>
      <c r="AU543" s="339" t="n"/>
      <c r="AV543" s="339" t="n"/>
      <c r="AW543" s="339" t="n"/>
      <c r="AX543" s="339" t="n"/>
      <c r="AY543" s="339" t="n"/>
    </row>
    <row r="544" ht="15" customHeight="1" thickBot="1">
      <c r="B544" s="338" t="n"/>
      <c r="C544" s="373" t="n">
        <v>11</v>
      </c>
      <c r="D544" s="410" t="n"/>
      <c r="E544" s="410" t="n"/>
      <c r="F544" s="410" t="n"/>
      <c r="G544" s="486" t="inlineStr">
        <is>
          <t>已查閱。</t>
        </is>
      </c>
      <c r="H544" s="391" t="inlineStr">
        <is>
          <t>●</t>
        </is>
      </c>
      <c r="I544" s="392" t="n"/>
      <c r="J544" s="389" t="n"/>
      <c r="K544" s="339" t="n"/>
      <c r="L544" s="340" t="n"/>
      <c r="M544" s="340" t="n"/>
      <c r="N544" s="340" t="n"/>
      <c r="O544" s="340" t="n"/>
      <c r="P544" s="339" t="n"/>
      <c r="Q544" s="339" t="n"/>
      <c r="R544" s="339" t="n"/>
      <c r="S544" s="339" t="n"/>
      <c r="T544" s="339" t="n"/>
      <c r="U544" s="341" t="n"/>
      <c r="V544" s="341" t="n"/>
      <c r="W544" s="339" t="n"/>
      <c r="X544" s="339" t="n"/>
      <c r="Y544" s="339" t="n"/>
      <c r="Z544" s="340" t="n"/>
      <c r="AA544" s="340" t="n"/>
      <c r="AB544" s="340" t="n"/>
      <c r="AC544" s="340" t="n"/>
      <c r="AD544" s="340" t="n"/>
      <c r="AE544" s="340" t="n"/>
      <c r="AF544" s="340" t="n"/>
      <c r="AG544" s="340" t="n"/>
      <c r="AH544" s="340" t="n"/>
      <c r="AI544" s="340" t="n"/>
      <c r="AJ544" s="340" t="n"/>
      <c r="AK544" s="340" t="n"/>
      <c r="AL544" s="340" t="n"/>
      <c r="AM544" s="340" t="n"/>
      <c r="AN544" s="340" t="n"/>
      <c r="AO544" s="340" t="n"/>
      <c r="AP544" s="340" t="n"/>
      <c r="AQ544" s="340" t="n"/>
      <c r="AR544" s="340" t="n"/>
      <c r="AS544" s="340" t="n"/>
      <c r="AT544" s="339" t="n"/>
      <c r="AU544" s="339" t="n"/>
      <c r="AV544" s="339" t="n"/>
      <c r="AW544" s="339" t="n"/>
      <c r="AX544" s="339" t="n"/>
      <c r="AY544" s="339" t="n"/>
    </row>
  </sheetData>
  <autoFilter ref="A4:BK524"/>
  <mergeCells count="67">
    <mergeCell ref="BH4:BH5"/>
    <mergeCell ref="R4:R5"/>
    <mergeCell ref="C4:C5"/>
    <mergeCell ref="T4:T5"/>
    <mergeCell ref="E4:E5"/>
    <mergeCell ref="V4:V5"/>
    <mergeCell ref="AB4:AB5"/>
    <mergeCell ref="BE4:BE5"/>
    <mergeCell ref="AN4:AN5"/>
    <mergeCell ref="O4:O5"/>
    <mergeCell ref="AF4:AF5"/>
    <mergeCell ref="AW4:AW5"/>
    <mergeCell ref="AH4:AH5"/>
    <mergeCell ref="AY4:AY5"/>
    <mergeCell ref="BK4:BK5"/>
    <mergeCell ref="BG4:BG5"/>
    <mergeCell ref="AZ4:AZ5"/>
    <mergeCell ref="Q4:Q5"/>
    <mergeCell ref="D4:D5"/>
    <mergeCell ref="J4:J5"/>
    <mergeCell ref="AA4:AA5"/>
    <mergeCell ref="BB4:BB5"/>
    <mergeCell ref="L4:L5"/>
    <mergeCell ref="AC4:AC5"/>
    <mergeCell ref="AI4:AI5"/>
    <mergeCell ref="BL4:BL5"/>
    <mergeCell ref="BF4:BF5"/>
    <mergeCell ref="D1:G1"/>
    <mergeCell ref="AM4:AM5"/>
    <mergeCell ref="AQ4:AQ5"/>
    <mergeCell ref="AT4:AT5"/>
    <mergeCell ref="AO4:AO5"/>
    <mergeCell ref="CS4:CS5"/>
    <mergeCell ref="BD4:BD5"/>
    <mergeCell ref="A4:A5"/>
    <mergeCell ref="G4:G5"/>
    <mergeCell ref="X4:X5"/>
    <mergeCell ref="BA4:BA5"/>
    <mergeCell ref="I4:I5"/>
    <mergeCell ref="Z4:Z5"/>
    <mergeCell ref="K4:K5"/>
    <mergeCell ref="BC4:BC5"/>
    <mergeCell ref="BI4:BI5"/>
    <mergeCell ref="AD4:AD5"/>
    <mergeCell ref="S4:S5"/>
    <mergeCell ref="AJ4:AJ5"/>
    <mergeCell ref="AU4:AU5"/>
    <mergeCell ref="U4:U5"/>
    <mergeCell ref="AL4:AL5"/>
    <mergeCell ref="D2:G2"/>
    <mergeCell ref="M4:M5"/>
    <mergeCell ref="B4:B5"/>
    <mergeCell ref="F4:F5"/>
    <mergeCell ref="W4:W5"/>
    <mergeCell ref="AP4:AP5"/>
    <mergeCell ref="H4:H5"/>
    <mergeCell ref="N4:N5"/>
    <mergeCell ref="Y4:Y5"/>
    <mergeCell ref="AE4:AE5"/>
    <mergeCell ref="P4:P5"/>
    <mergeCell ref="AG4:AG5"/>
    <mergeCell ref="AX4:AX5"/>
    <mergeCell ref="BJ4:BJ5"/>
    <mergeCell ref="AK4:AK5"/>
    <mergeCell ref="AV4:AV5"/>
    <mergeCell ref="AR4:AR5"/>
    <mergeCell ref="AS4:AS5"/>
  </mergeCells>
  <conditionalFormatting sqref="BM7:CR311 BM512:CR519">
    <cfRule type="notContainsBlanks" priority="262" dxfId="81">
      <formula>LEN(TRIM(BM7))&gt;0</formula>
    </cfRule>
  </conditionalFormatting>
  <conditionalFormatting sqref="AE6:AE7 AE14:AE311 AE512:AE525">
    <cfRule type="notContainsBlanks" priority="229" dxfId="1">
      <formula>LEN(TRIM(AE6))&gt;0</formula>
    </cfRule>
    <cfRule type="expression" priority="321" dxfId="0">
      <formula>CODE($AY6)</formula>
    </cfRule>
  </conditionalFormatting>
  <conditionalFormatting sqref="AF6:AF7 AF14:AF311 AF512:AF525">
    <cfRule type="notContainsBlanks" priority="223" dxfId="1">
      <formula>LEN(TRIM(AF6))&gt;0</formula>
    </cfRule>
    <cfRule type="expression" priority="224" dxfId="0">
      <formula>CODE($AZ6)</formula>
    </cfRule>
  </conditionalFormatting>
  <conditionalFormatting sqref="AG6:AG7 AG14:AG311 AG512:AG525">
    <cfRule type="notContainsBlanks" priority="221" dxfId="1">
      <formula>LEN(TRIM(AG6))&gt;0</formula>
    </cfRule>
    <cfRule type="expression" priority="222" dxfId="0">
      <formula>CODE($BA6)</formula>
    </cfRule>
  </conditionalFormatting>
  <conditionalFormatting sqref="AH6:AH7 AH14:AH311 AH512:AH525">
    <cfRule type="notContainsBlanks" priority="219" dxfId="1">
      <formula>LEN(TRIM(AH6))&gt;0</formula>
    </cfRule>
    <cfRule type="expression" priority="220" dxfId="0">
      <formula>CODE($BB6)</formula>
    </cfRule>
  </conditionalFormatting>
  <conditionalFormatting sqref="AI6:AI7 AI14:AI311 AI512:AI525">
    <cfRule type="notContainsBlanks" priority="217" dxfId="1">
      <formula>LEN(TRIM(AI6))&gt;0</formula>
    </cfRule>
    <cfRule type="expression" priority="218" dxfId="0">
      <formula>CODE($BC6)</formula>
    </cfRule>
  </conditionalFormatting>
  <conditionalFormatting sqref="AO6:AO311 AO512:AO525">
    <cfRule type="notContainsBlanks" priority="227" dxfId="1">
      <formula>LEN(TRIM(AO6))&gt;0</formula>
    </cfRule>
    <cfRule type="expression" priority="228" dxfId="56">
      <formula>$AE6</formula>
    </cfRule>
  </conditionalFormatting>
  <conditionalFormatting sqref="AP6:AP311 AP512:AP525">
    <cfRule type="notContainsBlanks" priority="215" dxfId="1">
      <formula>LEN(TRIM(AP6))&gt;0</formula>
    </cfRule>
    <cfRule type="expression" priority="216" dxfId="56">
      <formula>$AF6</formula>
    </cfRule>
  </conditionalFormatting>
  <conditionalFormatting sqref="AQ6:AQ311 AQ512:AQ525">
    <cfRule type="notContainsBlanks" priority="213" dxfId="1">
      <formula>LEN(TRIM(AQ6))&gt;0</formula>
    </cfRule>
    <cfRule type="expression" priority="214" dxfId="56">
      <formula>$AG6</formula>
    </cfRule>
  </conditionalFormatting>
  <conditionalFormatting sqref="AR6:AR311 AR512:AR525">
    <cfRule type="notContainsBlanks" priority="211" dxfId="1">
      <formula>LEN(TRIM(AR6))&gt;0</formula>
    </cfRule>
    <cfRule type="expression" priority="212" dxfId="56">
      <formula>$AH6</formula>
    </cfRule>
  </conditionalFormatting>
  <conditionalFormatting sqref="AS6:AS311 AS512:AS525">
    <cfRule type="notContainsBlanks" priority="209" dxfId="1">
      <formula>LEN(TRIM(AS6))&gt;0</formula>
    </cfRule>
    <cfRule type="expression" priority="210" dxfId="56">
      <formula>$AI6</formula>
    </cfRule>
  </conditionalFormatting>
  <conditionalFormatting sqref="H1">
    <cfRule type="expression" priority="158" dxfId="135">
      <formula>CODE($I7)</formula>
    </cfRule>
  </conditionalFormatting>
  <conditionalFormatting sqref="H2">
    <cfRule type="expression" priority="157" dxfId="134">
      <formula>CODE($I312)</formula>
    </cfRule>
  </conditionalFormatting>
  <conditionalFormatting sqref="V25:V311 V512:V525">
    <cfRule type="notContainsBlanks" priority="153" dxfId="1">
      <formula>LEN(TRIM(V25))&gt;0</formula>
    </cfRule>
    <cfRule type="expression" priority="154" dxfId="35">
      <formula>CODE($U25)</formula>
    </cfRule>
  </conditionalFormatting>
  <conditionalFormatting sqref="U25:U311 U512:U525">
    <cfRule type="notContainsBlanks" priority="156" dxfId="1">
      <formula>LEN(TRIM(U25))&gt;0</formula>
    </cfRule>
    <cfRule type="expression" priority="320" dxfId="35">
      <formula>CODE($I25)</formula>
    </cfRule>
  </conditionalFormatting>
  <conditionalFormatting sqref="X6:X311 X512:X522">
    <cfRule type="notContainsBlanks" priority="147" dxfId="56">
      <formula>LEN(TRIM(X6))&gt;0</formula>
    </cfRule>
  </conditionalFormatting>
  <conditionalFormatting sqref="G7:G311 G512:G525">
    <cfRule type="containsBlanks" priority="145" dxfId="1">
      <formula>LEN(TRIM(G7))=0</formula>
    </cfRule>
    <cfRule type="expression" priority="146" dxfId="35">
      <formula>LEN($G7)&lt;&gt;20</formula>
    </cfRule>
  </conditionalFormatting>
  <conditionalFormatting sqref="C6:C311 C512:C522">
    <cfRule type="cellIs" priority="245" operator="equal" dxfId="53">
      <formula>"烤漆"</formula>
    </cfRule>
    <cfRule type="cellIs" priority="246" operator="equal" dxfId="52">
      <formula>"陽極本色"</formula>
    </cfRule>
    <cfRule type="cellIs" priority="247" operator="equal" dxfId="51">
      <formula>"陽極黑色"</formula>
    </cfRule>
    <cfRule type="cellIs" priority="248" operator="equal" dxfId="50">
      <formula>"ED"</formula>
    </cfRule>
    <cfRule type="cellIs" priority="249" operator="equal" dxfId="49">
      <formula>"鍍鉻"</formula>
    </cfRule>
    <cfRule type="cellIs" priority="250" operator="equal" dxfId="48">
      <formula>"染黑"</formula>
    </cfRule>
    <cfRule type="containsText" priority="251" operator="containsText" dxfId="47" text="雷射">
      <formula>NOT(ISERROR(SEARCH("雷射",C6)))</formula>
    </cfRule>
    <cfRule type="cellIs" priority="252" operator="equal" dxfId="46">
      <formula>"客供"</formula>
    </cfRule>
    <cfRule type="cellIs" priority="253" operator="equal" dxfId="45">
      <formula>"市購"</formula>
    </cfRule>
    <cfRule type="cellIs" priority="254" operator="equal" dxfId="44">
      <formula>"電控"</formula>
    </cfRule>
    <cfRule type="cellIs" priority="255" operator="equal" dxfId="43">
      <formula>"銑"</formula>
    </cfRule>
    <cfRule type="cellIs" priority="256" operator="equal" dxfId="42">
      <formula>"車"</formula>
    </cfRule>
    <cfRule type="cellIs" priority="257" operator="equal" dxfId="41">
      <formula>"鈑金"</formula>
    </cfRule>
    <cfRule type="cellIs" priority="258" operator="equal" dxfId="40">
      <formula>"焊接"</formula>
    </cfRule>
    <cfRule type="cellIs" priority="259" operator="equal" dxfId="39">
      <formula>"螺絲"</formula>
    </cfRule>
    <cfRule type="cellIs" priority="260" operator="equal" dxfId="38">
      <formula>"研磨"</formula>
    </cfRule>
  </conditionalFormatting>
  <conditionalFormatting sqref="B6:Y6">
    <cfRule type="expression" priority="144" dxfId="135">
      <formula>CODE($I7)</formula>
    </cfRule>
  </conditionalFormatting>
  <conditionalFormatting sqref="B311:X311">
    <cfRule type="expression" priority="141" dxfId="134">
      <formula>CODE($I312)</formula>
    </cfRule>
  </conditionalFormatting>
  <conditionalFormatting sqref="D6:D311 D512:D522">
    <cfRule type="containsText" priority="140" operator="containsText" dxfId="37" text="V">
      <formula>NOT(ISERROR(SEARCH("V",D6)))</formula>
    </cfRule>
  </conditionalFormatting>
  <conditionalFormatting sqref="H7:H8 H10:H12 H16:H311 H512:H525">
    <cfRule type="containsBlanks" priority="329" dxfId="1">
      <formula>LEN(TRIM(H7))=0</formula>
    </cfRule>
    <cfRule type="expression" priority="330" dxfId="35">
      <formula>LEN($H7)&lt;&gt;20</formula>
    </cfRule>
  </conditionalFormatting>
  <conditionalFormatting sqref="G7:J8 G9 G10:J12 G13:G15 G16:J311 G512:J522">
    <cfRule type="duplicateValues" priority="137" dxfId="34"/>
  </conditionalFormatting>
  <conditionalFormatting sqref="I7:I8 I10:I12 I16:I311 I512:I525">
    <cfRule type="expression" priority="135" dxfId="32">
      <formula>IF(I7&gt;0,(LENB(I7)+LENB(J7))&gt;30)</formula>
    </cfRule>
  </conditionalFormatting>
  <conditionalFormatting sqref="J7:J8 J10:J12 J16:J311 J512:J525">
    <cfRule type="expression" priority="134" dxfId="32">
      <formula>IF(J7&gt;0,(LENB(I7)+LENB(J7))&gt;30)</formula>
    </cfRule>
  </conditionalFormatting>
  <conditionalFormatting sqref="P6:P311 P512:P525">
    <cfRule type="notContainsBlanks" priority="131" dxfId="1">
      <formula>LEN(TRIM(P6))&gt;0</formula>
    </cfRule>
    <cfRule type="expression" priority="331" dxfId="0">
      <formula>CODE($AY6)</formula>
    </cfRule>
  </conditionalFormatting>
  <conditionalFormatting sqref="Q7:Q311 Q512:Q525">
    <cfRule type="expression" priority="128" dxfId="0">
      <formula>CODE($AZ7)</formula>
    </cfRule>
    <cfRule type="notContainsBlanks" priority="127" dxfId="1">
      <formula>LEN(TRIM(Q7))&gt;0</formula>
    </cfRule>
  </conditionalFormatting>
  <conditionalFormatting sqref="R7:R311 R512:R525">
    <cfRule type="notContainsBlanks" priority="125" dxfId="1">
      <formula>LEN(TRIM(R7))&gt;0</formula>
    </cfRule>
    <cfRule type="expression" priority="126" dxfId="0">
      <formula>CODE($BA7)</formula>
    </cfRule>
  </conditionalFormatting>
  <conditionalFormatting sqref="S7:S311 S512:S525">
    <cfRule type="expression" priority="124" dxfId="0">
      <formula>CODE($BB7)</formula>
    </cfRule>
    <cfRule type="notContainsBlanks" priority="123" dxfId="1">
      <formula>LEN(TRIM(S7))&gt;0</formula>
    </cfRule>
  </conditionalFormatting>
  <conditionalFormatting sqref="T7:T311 T512:T525">
    <cfRule type="notContainsBlanks" priority="121" dxfId="1">
      <formula>LEN(TRIM(T7))&gt;0</formula>
    </cfRule>
    <cfRule type="expression" priority="122" dxfId="0">
      <formula>CODE($BC7)</formula>
    </cfRule>
  </conditionalFormatting>
  <conditionalFormatting sqref="BE8:BE311 BE512:BE525">
    <cfRule type="notContainsBlanks" priority="119" dxfId="1">
      <formula>LEN(TRIM(BE8))&gt;0</formula>
    </cfRule>
    <cfRule type="expression" priority="120" dxfId="0">
      <formula>CODE($AY8)</formula>
    </cfRule>
  </conditionalFormatting>
  <conditionalFormatting sqref="BF6:BF311 BF512:BF525">
    <cfRule type="notContainsBlanks" priority="117" dxfId="1">
      <formula>LEN(TRIM(BF6))&gt;0</formula>
    </cfRule>
    <cfRule type="expression" priority="118" dxfId="0">
      <formula>CODE($AZ6)</formula>
    </cfRule>
  </conditionalFormatting>
  <conditionalFormatting sqref="BG6:BG311 BG512:BG525">
    <cfRule type="notContainsBlanks" priority="115" dxfId="1">
      <formula>LEN(TRIM(BG6))&gt;0</formula>
    </cfRule>
    <cfRule type="expression" priority="116" dxfId="0">
      <formula>CODE($BA6)</formula>
    </cfRule>
  </conditionalFormatting>
  <conditionalFormatting sqref="BH6:BH311 BH512:BH525">
    <cfRule type="notContainsBlanks" priority="111" dxfId="1">
      <formula>LEN(TRIM(BH6))&gt;0</formula>
    </cfRule>
    <cfRule type="expression" priority="112" dxfId="0">
      <formula>CODE($BB6)</formula>
    </cfRule>
  </conditionalFormatting>
  <conditionalFormatting sqref="BE6:BE311 BE512:BE513">
    <cfRule type="notContainsBlanks" priority="109" dxfId="1">
      <formula>LEN(TRIM(BE6))&gt;0</formula>
    </cfRule>
    <cfRule type="expression" priority="110" dxfId="0">
      <formula>CODE($BB6)</formula>
    </cfRule>
  </conditionalFormatting>
  <conditionalFormatting sqref="BI6:BI311 BI512:BI525">
    <cfRule type="notContainsBlanks" priority="107" dxfId="1">
      <formula>LEN(TRIM(BI6))&gt;0</formula>
    </cfRule>
    <cfRule type="expression" priority="108" dxfId="0">
      <formula>CODE($BC6)</formula>
    </cfRule>
  </conditionalFormatting>
  <conditionalFormatting sqref="V13:V24">
    <cfRule type="notContainsBlanks" priority="103" dxfId="1">
      <formula>LEN(TRIM(V13))&gt;0</formula>
    </cfRule>
    <cfRule type="expression" priority="104" dxfId="35">
      <formula>CODE($U13)</formula>
    </cfRule>
  </conditionalFormatting>
  <conditionalFormatting sqref="U13:U24">
    <cfRule type="notContainsBlanks" priority="105" dxfId="1">
      <formula>LEN(TRIM(U13))&gt;0</formula>
    </cfRule>
    <cfRule type="expression" priority="106" dxfId="35">
      <formula>CODE($I13)</formula>
    </cfRule>
  </conditionalFormatting>
  <conditionalFormatting sqref="BE7">
    <cfRule type="notContainsBlanks" priority="101" dxfId="1">
      <formula>LEN(TRIM(BE7))&gt;0</formula>
    </cfRule>
    <cfRule type="expression" priority="102" dxfId="0">
      <formula>CODE($AY7)</formula>
    </cfRule>
  </conditionalFormatting>
  <conditionalFormatting sqref="V7">
    <cfRule type="notContainsBlanks" priority="97" dxfId="1">
      <formula>LEN(TRIM(V7))&gt;0</formula>
    </cfRule>
    <cfRule type="expression" priority="98" dxfId="35">
      <formula>CODE($U7)</formula>
    </cfRule>
  </conditionalFormatting>
  <conditionalFormatting sqref="U7">
    <cfRule type="notContainsBlanks" priority="99" dxfId="1">
      <formula>LEN(TRIM(U7))&gt;0</formula>
    </cfRule>
    <cfRule type="expression" priority="100" dxfId="35">
      <formula>CODE($I7)</formula>
    </cfRule>
  </conditionalFormatting>
  <conditionalFormatting sqref="V8:V12">
    <cfRule type="notContainsBlanks" priority="93" dxfId="1">
      <formula>LEN(TRIM(V8))&gt;0</formula>
    </cfRule>
    <cfRule type="expression" priority="94" dxfId="35">
      <formula>CODE($U8)</formula>
    </cfRule>
  </conditionalFormatting>
  <conditionalFormatting sqref="U8:U12">
    <cfRule type="notContainsBlanks" priority="95" dxfId="1">
      <formula>LEN(TRIM(U8))&gt;0</formula>
    </cfRule>
    <cfRule type="expression" priority="96" dxfId="35">
      <formula>CODE($I8)</formula>
    </cfRule>
  </conditionalFormatting>
  <conditionalFormatting sqref="H9">
    <cfRule type="containsBlanks" priority="91" dxfId="1">
      <formula>LEN(TRIM(H9))=0</formula>
    </cfRule>
    <cfRule type="expression" priority="92" dxfId="35">
      <formula>LEN($H9)&lt;&gt;20</formula>
    </cfRule>
  </conditionalFormatting>
  <conditionalFormatting sqref="H9:J9">
    <cfRule type="duplicateValues" priority="90" dxfId="34"/>
  </conditionalFormatting>
  <conditionalFormatting sqref="I9">
    <cfRule type="expression" priority="89" dxfId="32">
      <formula>IF(I9&gt;0,(LENB(I9)+LENB(J9))&gt;30)</formula>
    </cfRule>
  </conditionalFormatting>
  <conditionalFormatting sqref="J9">
    <cfRule type="expression" priority="88" dxfId="32">
      <formula>IF(J9&gt;0,(LENB(I9)+LENB(J9))&gt;30)</formula>
    </cfRule>
  </conditionalFormatting>
  <conditionalFormatting sqref="H13:H15">
    <cfRule type="containsBlanks" priority="86" dxfId="1">
      <formula>LEN(TRIM(H13))=0</formula>
    </cfRule>
    <cfRule type="expression" priority="87" dxfId="35">
      <formula>LEN($H13)&lt;&gt;20</formula>
    </cfRule>
  </conditionalFormatting>
  <conditionalFormatting sqref="H13:J15">
    <cfRule type="duplicateValues" priority="85" dxfId="34"/>
  </conditionalFormatting>
  <conditionalFormatting sqref="I13:I15">
    <cfRule type="expression" priority="84" dxfId="32">
      <formula>IF(I13&gt;0,(LENB(I13)+LENB(J13))&gt;30)</formula>
    </cfRule>
  </conditionalFormatting>
  <conditionalFormatting sqref="J13:J15">
    <cfRule type="expression" priority="83" dxfId="32">
      <formula>IF(J13&gt;0,(LENB(I13)+LENB(J13))&gt;30)</formula>
    </cfRule>
  </conditionalFormatting>
  <conditionalFormatting sqref="BM312:CR511">
    <cfRule type="notContainsBlanks" priority="77" dxfId="81">
      <formula>LEN(TRIM(BM312))&gt;0</formula>
    </cfRule>
  </conditionalFormatting>
  <conditionalFormatting sqref="AE312:AE511">
    <cfRule type="notContainsBlanks" priority="60" dxfId="1">
      <formula>LEN(TRIM(AE312))&gt;0</formula>
    </cfRule>
    <cfRule type="expression" priority="79" dxfId="0">
      <formula>CODE($AY312)</formula>
    </cfRule>
  </conditionalFormatting>
  <conditionalFormatting sqref="AF312:AF511">
    <cfRule type="notContainsBlanks" priority="56" dxfId="1">
      <formula>LEN(TRIM(AF312))&gt;0</formula>
    </cfRule>
    <cfRule type="expression" priority="57" dxfId="0">
      <formula>CODE($AZ312)</formula>
    </cfRule>
  </conditionalFormatting>
  <conditionalFormatting sqref="AG312:AG511">
    <cfRule type="notContainsBlanks" priority="54" dxfId="1">
      <formula>LEN(TRIM(AG312))&gt;0</formula>
    </cfRule>
    <cfRule type="expression" priority="55" dxfId="0">
      <formula>CODE($BA312)</formula>
    </cfRule>
  </conditionalFormatting>
  <conditionalFormatting sqref="AH312:AH511">
    <cfRule type="notContainsBlanks" priority="52" dxfId="1">
      <formula>LEN(TRIM(AH312))&gt;0</formula>
    </cfRule>
    <cfRule type="expression" priority="53" dxfId="0">
      <formula>CODE($BB312)</formula>
    </cfRule>
  </conditionalFormatting>
  <conditionalFormatting sqref="AI312:AI511">
    <cfRule type="notContainsBlanks" priority="50" dxfId="1">
      <formula>LEN(TRIM(AI312))&gt;0</formula>
    </cfRule>
    <cfRule type="expression" priority="51" dxfId="0">
      <formula>CODE($BC312)</formula>
    </cfRule>
  </conditionalFormatting>
  <conditionalFormatting sqref="AO312:AO511">
    <cfRule type="notContainsBlanks" priority="58" dxfId="1">
      <formula>LEN(TRIM(AO312))&gt;0</formula>
    </cfRule>
    <cfRule type="expression" priority="59" dxfId="56">
      <formula>$AE312</formula>
    </cfRule>
  </conditionalFormatting>
  <conditionalFormatting sqref="AP312:AP511">
    <cfRule type="notContainsBlanks" priority="48" dxfId="1">
      <formula>LEN(TRIM(AP312))&gt;0</formula>
    </cfRule>
    <cfRule type="expression" priority="49" dxfId="56">
      <formula>$AF312</formula>
    </cfRule>
  </conditionalFormatting>
  <conditionalFormatting sqref="AQ312:AQ511">
    <cfRule type="notContainsBlanks" priority="46" dxfId="1">
      <formula>LEN(TRIM(AQ312))&gt;0</formula>
    </cfRule>
    <cfRule type="expression" priority="47" dxfId="56">
      <formula>$AG312</formula>
    </cfRule>
  </conditionalFormatting>
  <conditionalFormatting sqref="AR312:AR511">
    <cfRule type="notContainsBlanks" priority="44" dxfId="1">
      <formula>LEN(TRIM(AR312))&gt;0</formula>
    </cfRule>
    <cfRule type="expression" priority="45" dxfId="56">
      <formula>$AH312</formula>
    </cfRule>
  </conditionalFormatting>
  <conditionalFormatting sqref="AS312:AS511">
    <cfRule type="notContainsBlanks" priority="42" dxfId="1">
      <formula>LEN(TRIM(AS312))&gt;0</formula>
    </cfRule>
    <cfRule type="expression" priority="43" dxfId="56">
      <formula>$AI312</formula>
    </cfRule>
  </conditionalFormatting>
  <conditionalFormatting sqref="V312:V511">
    <cfRule type="notContainsBlanks" priority="39" dxfId="1">
      <formula>LEN(TRIM(V312))&gt;0</formula>
    </cfRule>
    <cfRule type="expression" priority="40" dxfId="35">
      <formula>CODE($U312)</formula>
    </cfRule>
  </conditionalFormatting>
  <conditionalFormatting sqref="U312:U511">
    <cfRule type="notContainsBlanks" priority="41" dxfId="1">
      <formula>LEN(TRIM(U312))&gt;0</formula>
    </cfRule>
    <cfRule type="expression" priority="78" dxfId="35">
      <formula>CODE($I312)</formula>
    </cfRule>
  </conditionalFormatting>
  <conditionalFormatting sqref="X312:X511">
    <cfRule type="notContainsBlanks" priority="38" dxfId="56">
      <formula>LEN(TRIM(X312))&gt;0</formula>
    </cfRule>
  </conditionalFormatting>
  <conditionalFormatting sqref="G312:G511">
    <cfRule type="containsBlanks" priority="36" dxfId="1">
      <formula>LEN(TRIM(G312))=0</formula>
    </cfRule>
    <cfRule type="expression" priority="37" dxfId="35">
      <formula>LEN($G312)&lt;&gt;20</formula>
    </cfRule>
  </conditionalFormatting>
  <conditionalFormatting sqref="C312:C511">
    <cfRule type="cellIs" priority="61" operator="equal" dxfId="53">
      <formula>"烤漆"</formula>
    </cfRule>
    <cfRule type="cellIs" priority="62" operator="equal" dxfId="52">
      <formula>"陽極本色"</formula>
    </cfRule>
    <cfRule type="cellIs" priority="63" operator="equal" dxfId="51">
      <formula>"陽極黑色"</formula>
    </cfRule>
    <cfRule type="cellIs" priority="64" operator="equal" dxfId="50">
      <formula>"ED"</formula>
    </cfRule>
    <cfRule type="cellIs" priority="65" operator="equal" dxfId="49">
      <formula>"鍍鉻"</formula>
    </cfRule>
    <cfRule type="cellIs" priority="66" operator="equal" dxfId="48">
      <formula>"染黑"</formula>
    </cfRule>
    <cfRule type="containsText" priority="67" operator="containsText" dxfId="47" text="雷射">
      <formula>NOT(ISERROR(SEARCH("雷射",C312)))</formula>
    </cfRule>
    <cfRule type="cellIs" priority="68" operator="equal" dxfId="46">
      <formula>"客供"</formula>
    </cfRule>
    <cfRule type="cellIs" priority="69" operator="equal" dxfId="45">
      <formula>"市購"</formula>
    </cfRule>
    <cfRule type="cellIs" priority="70" operator="equal" dxfId="44">
      <formula>"電控"</formula>
    </cfRule>
    <cfRule type="cellIs" priority="71" operator="equal" dxfId="43">
      <formula>"銑"</formula>
    </cfRule>
    <cfRule type="cellIs" priority="72" operator="equal" dxfId="42">
      <formula>"車"</formula>
    </cfRule>
    <cfRule type="cellIs" priority="73" operator="equal" dxfId="41">
      <formula>"鈑金"</formula>
    </cfRule>
    <cfRule type="cellIs" priority="74" operator="equal" dxfId="40">
      <formula>"焊接"</formula>
    </cfRule>
    <cfRule type="cellIs" priority="75" operator="equal" dxfId="39">
      <formula>"螺絲"</formula>
    </cfRule>
    <cfRule type="cellIs" priority="76" operator="equal" dxfId="38">
      <formula>"研磨"</formula>
    </cfRule>
  </conditionalFormatting>
  <conditionalFormatting sqref="D312:D511">
    <cfRule type="containsText" priority="35" operator="containsText" dxfId="37" text="V">
      <formula>NOT(ISERROR(SEARCH("V",D312)))</formula>
    </cfRule>
  </conditionalFormatting>
  <conditionalFormatting sqref="H312:H511">
    <cfRule type="containsBlanks" priority="80" dxfId="1">
      <formula>LEN(TRIM(H312))=0</formula>
    </cfRule>
    <cfRule type="expression" priority="81" dxfId="35">
      <formula>LEN($H312)&lt;&gt;20</formula>
    </cfRule>
  </conditionalFormatting>
  <conditionalFormatting sqref="G312:J511">
    <cfRule type="duplicateValues" priority="34" dxfId="34"/>
  </conditionalFormatting>
  <conditionalFormatting sqref="I312:I511">
    <cfRule type="expression" priority="33" dxfId="32">
      <formula>IF(I312&gt;0,(LENB(I312)+LENB(J312))&gt;30)</formula>
    </cfRule>
  </conditionalFormatting>
  <conditionalFormatting sqref="J312:J511">
    <cfRule type="expression" priority="32" dxfId="32">
      <formula>IF(J312&gt;0,(LENB(I312)+LENB(J312))&gt;30)</formula>
    </cfRule>
  </conditionalFormatting>
  <conditionalFormatting sqref="P312:P511">
    <cfRule type="notContainsBlanks" priority="31" dxfId="1">
      <formula>LEN(TRIM(P312))&gt;0</formula>
    </cfRule>
    <cfRule type="expression" priority="82" dxfId="0">
      <formula>CODE($AY312)</formula>
    </cfRule>
  </conditionalFormatting>
  <conditionalFormatting sqref="Q312:Q511">
    <cfRule type="notContainsBlanks" priority="29" dxfId="1">
      <formula>LEN(TRIM(Q312))&gt;0</formula>
    </cfRule>
    <cfRule type="expression" priority="30" dxfId="0">
      <formula>CODE($AZ312)</formula>
    </cfRule>
  </conditionalFormatting>
  <conditionalFormatting sqref="R312:R511">
    <cfRule type="notContainsBlanks" priority="27" dxfId="1">
      <formula>LEN(TRIM(R312))&gt;0</formula>
    </cfRule>
    <cfRule type="expression" priority="28" dxfId="0">
      <formula>CODE($BA312)</formula>
    </cfRule>
  </conditionalFormatting>
  <conditionalFormatting sqref="S312:S511">
    <cfRule type="notContainsBlanks" priority="25" dxfId="1">
      <formula>LEN(TRIM(S312))&gt;0</formula>
    </cfRule>
    <cfRule type="expression" priority="26" dxfId="0">
      <formula>CODE($BB312)</formula>
    </cfRule>
  </conditionalFormatting>
  <conditionalFormatting sqref="T312:T511">
    <cfRule type="notContainsBlanks" priority="23" dxfId="1">
      <formula>LEN(TRIM(T312))&gt;0</formula>
    </cfRule>
    <cfRule type="expression" priority="24" dxfId="0">
      <formula>CODE($BC312)</formula>
    </cfRule>
  </conditionalFormatting>
  <conditionalFormatting sqref="BE312:BE511">
    <cfRule type="notContainsBlanks" priority="21" dxfId="1">
      <formula>LEN(TRIM(BE312))&gt;0</formula>
    </cfRule>
    <cfRule type="expression" priority="22" dxfId="0">
      <formula>CODE($AY312)</formula>
    </cfRule>
    <cfRule type="notContainsBlanks" priority="13" dxfId="1">
      <formula>LEN(TRIM(BE312))&gt;0</formula>
    </cfRule>
    <cfRule type="expression" priority="14" dxfId="0">
      <formula>CODE($BB312)</formula>
    </cfRule>
  </conditionalFormatting>
  <conditionalFormatting sqref="BF312:BF511">
    <cfRule type="notContainsBlanks" priority="19" dxfId="1">
      <formula>LEN(TRIM(BF312))&gt;0</formula>
    </cfRule>
    <cfRule type="expression" priority="20" dxfId="0">
      <formula>CODE($AZ312)</formula>
    </cfRule>
  </conditionalFormatting>
  <conditionalFormatting sqref="BG312:BG511">
    <cfRule type="notContainsBlanks" priority="17" dxfId="1">
      <formula>LEN(TRIM(BG312))&gt;0</formula>
    </cfRule>
    <cfRule type="expression" priority="18" dxfId="0">
      <formula>CODE($BA312)</formula>
    </cfRule>
  </conditionalFormatting>
  <conditionalFormatting sqref="BH312:BH511">
    <cfRule type="notContainsBlanks" priority="15" dxfId="1">
      <formula>LEN(TRIM(BH312))&gt;0</formula>
    </cfRule>
    <cfRule type="expression" priority="16" dxfId="0">
      <formula>CODE($BB312)</formula>
    </cfRule>
  </conditionalFormatting>
  <conditionalFormatting sqref="BI312:BI511">
    <cfRule type="notContainsBlanks" priority="11" dxfId="1">
      <formula>LEN(TRIM(BI312))&gt;0</formula>
    </cfRule>
    <cfRule type="expression" priority="12" dxfId="0">
      <formula>CODE($BC312)</formula>
    </cfRule>
  </conditionalFormatting>
  <conditionalFormatting sqref="AE8:AE13">
    <cfRule type="notContainsBlanks" priority="9" dxfId="1">
      <formula>LEN(TRIM(AE8))&gt;0</formula>
    </cfRule>
    <cfRule type="expression" priority="10" dxfId="0">
      <formula>CODE($AY8)</formula>
    </cfRule>
  </conditionalFormatting>
  <conditionalFormatting sqref="AF8:AF13">
    <cfRule type="notContainsBlanks" priority="7" dxfId="1">
      <formula>LEN(TRIM(AF8))&gt;0</formula>
    </cfRule>
    <cfRule type="expression" priority="8" dxfId="0">
      <formula>CODE($AZ8)</formula>
    </cfRule>
  </conditionalFormatting>
  <conditionalFormatting sqref="AG8:AG13">
    <cfRule type="notContainsBlanks" priority="5" dxfId="1">
      <formula>LEN(TRIM(AG8))&gt;0</formula>
    </cfRule>
    <cfRule type="expression" priority="6" dxfId="0">
      <formula>CODE($BA8)</formula>
    </cfRule>
  </conditionalFormatting>
  <conditionalFormatting sqref="AH8:AH13">
    <cfRule type="notContainsBlanks" priority="3" dxfId="1">
      <formula>LEN(TRIM(AH8))&gt;0</formula>
    </cfRule>
    <cfRule type="expression" priority="4" dxfId="0">
      <formula>CODE($BB8)</formula>
    </cfRule>
  </conditionalFormatting>
  <conditionalFormatting sqref="AI8:AI13">
    <cfRule type="notContainsBlanks" priority="1" dxfId="1">
      <formula>LEN(TRIM(AI8))&gt;0</formula>
    </cfRule>
    <cfRule type="expression" priority="2" dxfId="0">
      <formula>CODE($BC8)</formula>
    </cfRule>
  </conditionalFormatting>
  <dataValidations xWindow="336" yWindow="1283" count="41">
    <dataValidation sqref="AX4:AX519" showDropDown="0" showInputMessage="1" showErrorMessage="1" allowBlank="1" promptTitle="公式勿動：" prompt="判別庫存與採購到貨"/>
    <dataValidation sqref="A6:A519" showDropDown="0" showInputMessage="1" showErrorMessage="1" allowBlank="1" promptTitle="請輸入" prompt="實際排序編號"/>
    <dataValidation sqref="Y4:Y520" showDropDown="0" showInputMessage="1" showErrorMessage="1" allowBlank="1" promptTitle="說明：" prompt="廠內存有的庫存品時，請輸入【庫存】。_x000a_需再採購者，請勿作任何標示。" type="list">
      <formula1>"庫存"</formula1>
    </dataValidation>
    <dataValidation sqref="AW4:AW519" showDropDown="0" showInputMessage="1" showErrorMessage="1" allowBlank="1" promptTitle="公式勿動：" prompt="廠內有庫存，不須採購"/>
    <dataValidation sqref="AV4:AV519" showDropDown="0" showInputMessage="1" showErrorMessage="1" allowBlank="1" promptTitle="公式勿動：" prompt="到貨時顯示"/>
    <dataValidation sqref="AU6:AU519" showDropDown="0" showInputMessage="1" showErrorMessage="1" allowBlank="1" promptTitle="公式勿動：" prompt="計算發包日期至到貨日期的天數"/>
    <dataValidation sqref="AT6:AT519" showDropDown="0" showInputMessage="1" showErrorMessage="1" allowBlank="1" promptTitle="公式勿動：" prompt="1.天數為負時，須詢問廠商未收到進貨！_x000a_2.預交日未超過今日，天數為正。_x000a_3.預交日超過今日未進貨，天數顯示負。"/>
    <dataValidation sqref="W6:W519 BL6:BL519" showDropDown="0" showInputMessage="1" showErrorMessage="1" allowBlank="1" promptTitle="備註：" prompt="特別事項說明。"/>
    <dataValidation sqref="V6 V16:V519" showDropDown="0" showInputMessage="1" showErrorMessage="1" allowBlank="1" promptTitle="請輸入：" prompt="提出請購的需求日期"/>
    <dataValidation sqref="BJ6:BJ519" showDropDown="0" showInputMessage="1" showErrorMessage="1" allowBlank="1" promptTitle="請輸入：" prompt="運費金額。"/>
    <dataValidation sqref="BI6 BI12:BI519" showDropDown="0" showInputMessage="1" showErrorMessage="1" allowBlank="1" promptTitle="請輸入：" prompt="採購或製程五的單價。"/>
    <dataValidation sqref="BH6 BH12:BH519" showDropDown="0" showInputMessage="1" showErrorMessage="1" allowBlank="1" promptTitle="請輸入：" prompt="採購或製程四的單價。"/>
    <dataValidation sqref="BG6 BG12:BG519" showDropDown="0" showInputMessage="1" showErrorMessage="1" allowBlank="1" promptTitle="請輸入：" prompt="採購或製程三的單價。"/>
    <dataValidation sqref="BF6 BF12:BF519" showDropDown="0" showInputMessage="1" showErrorMessage="1" allowBlank="1" promptTitle="請輸入：" prompt="採購或製程二的單價。"/>
    <dataValidation sqref="BE6 BE13:BE519" showDropDown="0" showInputMessage="1" showErrorMessage="1" allowBlank="1" promptTitle="請輸入：" prompt="採購或製程一的單價。"/>
    <dataValidation sqref="S6 S8:S519" showDropDown="0" showInputMessage="1" showErrorMessage="0" allowBlank="1" promptTitle="請輸入：" prompt="製程四的表面處理。" type="list" errorStyle="warning">
      <formula1>"無,染黑,鍍鉻,鍍鋅,ED,烤漆,陽極本色,陽極黑色,鍍鎳,鍍化鎳,研磨,熱處理"</formula1>
    </dataValidation>
    <dataValidation sqref="R6 R8:R519" showDropDown="0" showInputMessage="1" showErrorMessage="0" allowBlank="1" promptTitle="請輸入：" prompt="製程三的表面處理。" type="list" errorStyle="warning">
      <formula1>"無,染黑,鍍鉻,鍍鋅,ED,烤漆,陽極本色,陽極黑色,鍍鎳,鍍化鎳,研磨,熱處理"</formula1>
    </dataValidation>
    <dataValidation sqref="Q6 Q11:Q519" showDropDown="0" showInputMessage="1" showErrorMessage="0" allowBlank="1" promptTitle="請輸入：" prompt="製程二的表面處理。" type="list" errorStyle="warning">
      <formula1>"無,染黑,鍍鉻,鍍鋅,ED,烤漆,陽極本色,陽極黑色,鍍鎳,鍍化鎳,研磨,熱處理"</formula1>
    </dataValidation>
    <dataValidation sqref="P6:P519 Q7:Q10 R7:T7" showDropDown="0" showInputMessage="1" showErrorMessage="0" allowBlank="1" promptTitle="請輸入：" prompt="製程一的表面處理。" type="list" errorStyle="warning">
      <formula1>"無,染黑,鍍鉻,鍍鋅,ED,烤漆,陽極本色,陽極黑色,鍍鎳,鍍化鎳,研磨,熱處理"</formula1>
    </dataValidation>
    <dataValidation sqref="BD6:BD519" showDropDown="0" showInputMessage="1" showErrorMessage="0" allowBlank="1" promptTitle="請選擇：" prompt="發包之廠商的加工品是否包含表面處理？" type="list" errorStyle="warning">
      <formula1>"是,否"</formula1>
    </dataValidation>
    <dataValidation sqref="BN4:CQ4" showDropDown="0" showInputMessage="1" showErrorMessage="0" allowBlank="1" promptTitle="輸入：" prompt="製程工序" type="list">
      <formula1>"製程？,全包,製程1,製程2,製程3,製程4,製程5,製程6,無"</formula1>
    </dataValidation>
    <dataValidation sqref="B6:B519 C534:D544" showDropDown="0" showInputMessage="1" showErrorMessage="1" allowBlank="1" promptTitle="請輸入" prompt="★機械材料表的項次：請從【列】6～305輸入。_x000a_★電機材料表的項次：請從【列】306～505輸入。"/>
    <dataValidation sqref="BN310:CQ310" showDropDown="0" showInputMessage="1" showErrorMessage="1" allowBlank="1" promptTitle="輸入：" prompt="製程工序" type="list">
      <formula1>"製程？,全包,製程1,製程2,製程3,製程4,製程5,製程6,無"</formula1>
    </dataValidation>
    <dataValidation sqref="X4:X5" showDropDown="0" showInputMessage="1" showErrorMessage="1" allowBlank="1" promptTitle="說明：" prompt="盤點現場產品與數量時，可作勾選記錄之儲存格。"/>
    <dataValidation sqref="BK6:BK522 BM520:CR522" showDropDown="0" showInputMessage="1" showErrorMessage="1" allowBlank="1" promptTitle="公式勿動：" prompt="採購單項產品至完成之成本。"/>
    <dataValidation sqref="L6:N7 L307:N311 L512:N519" showDropDown="0" showInputMessage="1" showErrorMessage="0" allowBlank="1" promptTitle="請輸入：" prompt="廠牌或加工品材質" type="list" errorStyle="warning">
      <formula1>"SS41,A6061,SUS304,UPE,PU,鍍鋅鋼板"</formula1>
    </dataValidation>
    <dataValidation sqref="J6 J307:K311 J512:K519 K6:K7" showDropDown="0" showInputMessage="1" showErrorMessage="1" allowBlank="1" promptTitle="請輸入：" prompt="規格型號"/>
    <dataValidation sqref="I6 I307:I311 I512:I519" showDropDown="0" showInputMessage="1" showErrorMessage="1" allowBlank="1" promptTitle="請輸入：" prompt="產品品名"/>
    <dataValidation sqref="G6 G307:G311 G512:G519 H1:H2" showDropDown="0" showInputMessage="1" showErrorMessage="1" allowBlank="1" promptTitle="請輸入：" prompt="機械：圖號。_x000a_電機：零件隸屬的圖號總號。"/>
    <dataValidation sqref="T6:U6 T8:T519" showDropDown="0" showInputMessage="1" showErrorMessage="0" allowBlank="1" promptTitle="請輸入：" prompt="製程五的表面處理。" type="list" errorStyle="warning">
      <formula1>"無,染黑,鍍鉻,鍍鋅,ED,烤漆,陽極本色,陽極黑色,鍍鎳,鍍化鎳,研磨,熱處理"</formula1>
    </dataValidation>
    <dataValidation sqref="AY6:AY13 AY307:AY311 AY512:AY519 AZ6:BC519" showDropDown="0" showInputMessage="1" showErrorMessage="0" allowBlank="1" promptTitle="請輸入：" prompt="採購品或製程一的廠商"/>
    <dataValidation sqref="M1" showDropDown="0" showInputMessage="1" showErrorMessage="1" allowBlank="1" promptTitle="輸入：" prompt="機台數量"/>
    <dataValidation sqref="J2:L2" showDropDown="0" showInputMessage="1" showErrorMessage="1" allowBlank="1" promptTitle="輸入：" prompt="專案名稱"/>
    <dataValidation sqref="J1:K1" showDropDown="0" showInputMessage="1" showErrorMessage="1" allowBlank="1" promptTitle="輸入：" prompt="專案型號"/>
    <dataValidation sqref="O6:O7 O307:O311 O512:O519" showDropDown="0" showInputMessage="1" showErrorMessage="0" allowBlank="1" promptTitle="輸入：" prompt="產品的重量" type="list" errorStyle="warning">
      <formula1>"SS41,A6061,SUS304,UPE,PU,鍍鋅鋼板"</formula1>
    </dataValidation>
    <dataValidation sqref="C6:C519 H534" showDropDown="0" showInputMessage="1" showErrorMessage="0" allowBlank="1" errorTitle="KEY錯了！" error="請檢查。" promptTitle="請輸入：" prompt="市購件或加工別" type="list">
      <formula1>"市購,電控,銑,車,車銑,雷射,板金,焊接,螺絲,研磨,客供"</formula1>
    </dataValidation>
    <dataValidation sqref="D523:D524" showDropDown="0" showInputMessage="1" showErrorMessage="1" allowBlank="1" promptTitle="新品" prompt="未購買過，請作記號&quot;V&quot;" type="custom">
      <formula1>"V"</formula1>
    </dataValidation>
    <dataValidation sqref="D6:D522" showDropDown="0" showInputMessage="1" showErrorMessage="1" allowBlank="1" promptTitle="新品" prompt="未購買過，請作記號&quot;V&quot;" type="list">
      <formula1>"V"</formula1>
    </dataValidation>
    <dataValidation sqref="F520:F522" showDropDown="0" showInputMessage="1" showErrorMessage="1" allowBlank="1" promptTitle="請輸入：" prompt="需採購數量" type="list">
      <formula1>"PCS,SET"</formula1>
    </dataValidation>
    <dataValidation sqref="F6:F519" showDropDown="0" showInputMessage="1" showErrorMessage="1" allowBlank="1" promptTitle="單位：" prompt="PCS/SET" type="list">
      <formula1>"PCS,SET"</formula1>
    </dataValidation>
    <dataValidation sqref="E6:E522" showDropDown="0" showInputMessage="1" showErrorMessage="1" allowBlank="1" promptTitle="數量：" prompt="單台份"/>
  </dataValidations>
  <hyperlinks>
    <hyperlink ref="V1" location="機械材料表" display="至機械材料表№1~300"/>
    <hyperlink ref="V2" location="電機材料表" display="至電機材料表№301~500"/>
    <hyperlink ref="G310" location="頁首" display="至頁首"/>
    <hyperlink ref="I310" location="機械材料表" display="至機械材料表第1項次"/>
    <hyperlink ref="I311" location="電機材料表之頁尾_link" display="至電機材料表頁尾第500項次(link)"/>
    <hyperlink ref="G513" location="頁首" display="至頁首"/>
    <hyperlink ref="I513" location="電機材料表" display="至電機材料表第1項次(link)"/>
  </hyperlinks>
  <pageMargins left="0.1968503937007874" right="0.1968503937007874" top="0.8661417322834646" bottom="0.5905511811023623" header="0.1968503937007874" footer="0.3149606299212598"/>
  <pageSetup orientation="landscape" paperSize="9" scale="55" blackAndWhite="1" horizontalDpi="1200" verticalDpi="1200"/>
  <headerFooter>
    <oddHeader>&amp;L&amp;10 &amp;YPage : &amp;N - &amp;P&amp;C&amp;"標楷體,粗體"&amp;15 廣杰精機股份有限公司_x000a_專案材料明細表&amp;R&amp;10 &amp;YPrint Date : &amp;T - &amp;D</oddHeader>
    <oddFooter>&amp;C核准：　　　　　　　　　　覆核：　　　　　　　　　　初核：　　　　　　　　　　採購：　　　　　　　　　　製單：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2026-09-03T15:24:10Z</dcterms:modified>
</cp:coreProperties>
</file>